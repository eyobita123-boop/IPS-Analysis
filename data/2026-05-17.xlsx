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Desktop\my_first_website\data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Sheet1!$B$7:$F$51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4" i="1" l="1"/>
  <c r="E54" i="1"/>
  <c r="D54" i="1"/>
  <c r="C54" i="1"/>
</calcChain>
</file>

<file path=xl/sharedStrings.xml><?xml version="1.0" encoding="utf-8"?>
<sst xmlns="http://schemas.openxmlformats.org/spreadsheetml/2006/main" count="58" uniqueCount="56">
  <si>
    <t>EthSwitch S.C.</t>
  </si>
  <si>
    <t>IPS Successful Report</t>
  </si>
  <si>
    <t>Successful IPS Interoperable Transactions Held From May 17,2026</t>
  </si>
  <si>
    <t>BANK</t>
  </si>
  <si>
    <t>Successful  Transactions As Destination</t>
  </si>
  <si>
    <t>Successful Transactions As Source</t>
  </si>
  <si>
    <t>No.Transactions</t>
  </si>
  <si>
    <t>Values</t>
  </si>
  <si>
    <t>Abay</t>
  </si>
  <si>
    <t>Abyssinia</t>
  </si>
  <si>
    <t>Addis</t>
  </si>
  <si>
    <t>Ahadu</t>
  </si>
  <si>
    <t>Ahadu Ebirr</t>
  </si>
  <si>
    <t>Amhara</t>
  </si>
  <si>
    <t>AmharaEthBirr</t>
  </si>
  <si>
    <t xml:space="preserve">Awash </t>
  </si>
  <si>
    <t>Berhan Bank</t>
  </si>
  <si>
    <t>Buna Bank</t>
  </si>
  <si>
    <t>CBE</t>
  </si>
  <si>
    <t>CBE BIRR</t>
  </si>
  <si>
    <t>CBO</t>
  </si>
  <si>
    <t>Coopay-E-Birr</t>
  </si>
  <si>
    <t xml:space="preserve">Dashen </t>
  </si>
  <si>
    <t>Dedebit MFI</t>
  </si>
  <si>
    <t>Enat Bank</t>
  </si>
  <si>
    <t>Gadaa</t>
  </si>
  <si>
    <t>Global</t>
  </si>
  <si>
    <t>GOH BETOCH</t>
  </si>
  <si>
    <t>HalalPay</t>
  </si>
  <si>
    <t>H-Cash</t>
  </si>
  <si>
    <t>Hibret</t>
  </si>
  <si>
    <t>Hijra Bank</t>
  </si>
  <si>
    <t>KAAFI MFI</t>
  </si>
  <si>
    <t>Kacha</t>
  </si>
  <si>
    <t>LIB</t>
  </si>
  <si>
    <t>MPESA</t>
  </si>
  <si>
    <t>NIB</t>
  </si>
  <si>
    <t>NibE Birr</t>
  </si>
  <si>
    <t>Nisir</t>
  </si>
  <si>
    <t>Omo Bank</t>
  </si>
  <si>
    <t>Oromia bank</t>
  </si>
  <si>
    <t>Rammis Bank</t>
  </si>
  <si>
    <t xml:space="preserve">Rays </t>
  </si>
  <si>
    <t>Shabelle</t>
  </si>
  <si>
    <t>Sidama Bank</t>
  </si>
  <si>
    <t>Siinqee</t>
  </si>
  <si>
    <t>Siket</t>
  </si>
  <si>
    <t>Tsedey Bank</t>
  </si>
  <si>
    <t>Tsehay</t>
  </si>
  <si>
    <t>Vision Fund</t>
  </si>
  <si>
    <t>Wegagen</t>
  </si>
  <si>
    <t>Wegagen e-Birr</t>
  </si>
  <si>
    <t>Yaya Wallet</t>
  </si>
  <si>
    <t>ZamZam</t>
  </si>
  <si>
    <t>Zemen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</si>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</sst>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[$-409]d\-mmm\-yy;@"/>
  </numFmts>
  <fonts count="10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b/>
      <sz val="12"/>
      <name val="Arial"/>
      <family val="2"/>
    </font>
    <font>
      <b/>
      <sz val="11"/>
      <color rgb="FF000000"/>
      <name val="Century Gothic"/>
      <family val="2"/>
    </font>
    <font>
      <sz val="11"/>
      <color rgb="FF000000"/>
      <name val="Century Gothic"/>
      <family val="2"/>
    </font>
    <font>
      <sz val="11"/>
      <color theme="1"/>
      <name val="Century Gothic"/>
      <family val="2"/>
    </font>
    <font>
      <sz val="11"/>
      <color rgb="FF000000"/>
      <name val="Times New Roman"/>
      <family val="1"/>
    </font>
    <font>
      <b/>
      <u/>
      <sz val="11"/>
      <color theme="1"/>
      <name val="Times New Roman"/>
      <family val="1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6" tint="0.79985961485641044"/>
      </top>
      <bottom style="thin">
        <color theme="6" tint="0.7998596148564104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9" fillId="0" borderId="0" applyFont="0" applyFill="0" applyBorder="0" applyAlignment="0" applyProtection="0">
      <alignment vertical="center"/>
    </xf>
    <xf numFmtId="0" fontId="8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NumberFormat="1" applyFont="1" applyAlignment="1">
      <alignment horizontal="center" vertical="center"/>
    </xf>
    <xf numFmtId="4" fontId="1" fillId="0" borderId="0" xfId="0" applyNumberFormat="1" applyFont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4" fontId="4" fillId="3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Alignment="1">
      <alignment horizontal="left"/>
    </xf>
    <xf numFmtId="0" fontId="1" fillId="0" borderId="0" xfId="0" applyNumberFormat="1" applyFont="1"/>
    <xf numFmtId="3" fontId="5" fillId="0" borderId="1" xfId="0" applyNumberFormat="1" applyFont="1" applyBorder="1" applyAlignment="1">
      <alignment horizontal="center"/>
    </xf>
    <xf numFmtId="3" fontId="5" fillId="0" borderId="1" xfId="1" applyNumberFormat="1" applyFont="1" applyBorder="1" applyAlignment="1">
      <alignment horizontal="center"/>
    </xf>
    <xf numFmtId="0" fontId="1" fillId="0" borderId="0" xfId="0" applyFont="1" applyBorder="1"/>
    <xf numFmtId="0" fontId="1" fillId="0" borderId="2" xfId="0" applyNumberFormat="1" applyFont="1" applyBorder="1" applyAlignment="1">
      <alignment horizontal="left"/>
    </xf>
    <xf numFmtId="0" fontId="6" fillId="3" borderId="3" xfId="0" applyFont="1" applyFill="1" applyBorder="1" applyAlignment="1">
      <alignment horizontal="center"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54"/>
  <sheetViews>
    <sheetView tabSelected="1" zoomScaleNormal="100" workbookViewId="0">
      <selection activeCell="G46" sqref="G46"/>
    </sheetView>
  </sheetViews>
  <sheetFormatPr defaultColWidth="9" defaultRowHeight="15"/>
  <cols>
    <col min="1" max="1" width="9" style="1"/>
    <col min="2" max="2" width="19.42578125" style="1" customWidth="1"/>
    <col min="3" max="3" width="21.140625" style="2" customWidth="1"/>
    <col min="4" max="4" width="26.42578125" style="3" customWidth="1"/>
    <col min="5" max="5" width="19" style="2" customWidth="1"/>
    <col min="6" max="6" width="32.28515625" style="3" customWidth="1"/>
    <col min="7" max="7" width="15.7109375" style="1" customWidth="1"/>
    <col min="8" max="8" width="19.7109375" style="1" customWidth="1"/>
    <col min="9" max="9" width="13.5703125" style="1" customWidth="1"/>
    <col min="10" max="16384" width="9" style="1"/>
  </cols>
  <sheetData>
    <row r="1" spans="2:9" ht="15.75">
      <c r="B1" s="15" t="s">
        <v>0</v>
      </c>
      <c r="C1" s="15"/>
      <c r="D1" s="15"/>
      <c r="E1" s="15"/>
      <c r="F1" s="15"/>
    </row>
    <row r="2" spans="2:9" ht="15.75">
      <c r="B2" s="15" t="s">
        <v>1</v>
      </c>
      <c r="C2" s="15"/>
      <c r="D2" s="15"/>
      <c r="E2" s="15"/>
      <c r="F2" s="15"/>
    </row>
    <row r="3" spans="2:9" ht="15.75">
      <c r="B3" s="16">
        <v>46159</v>
      </c>
      <c r="C3" s="16"/>
      <c r="D3" s="16"/>
      <c r="E3" s="16"/>
      <c r="F3" s="16"/>
    </row>
    <row r="4" spans="2:9" ht="20.25" customHeight="1">
      <c r="B4" s="17" t="s">
        <v>2</v>
      </c>
      <c r="C4" s="17"/>
      <c r="D4" s="17"/>
      <c r="E4" s="17"/>
      <c r="F4" s="17"/>
    </row>
    <row r="5" spans="2:9" ht="13.9" customHeight="1">
      <c r="B5" s="18" t="s">
        <v>3</v>
      </c>
      <c r="C5" s="18" t="s">
        <v>4</v>
      </c>
      <c r="D5" s="18"/>
      <c r="E5" s="18" t="s">
        <v>5</v>
      </c>
      <c r="F5" s="18"/>
    </row>
    <row r="6" spans="2:9" ht="16.5">
      <c r="B6" s="18"/>
      <c r="C6" s="5" t="s">
        <v>6</v>
      </c>
      <c r="D6" s="6" t="s">
        <v>7</v>
      </c>
      <c r="E6" s="5" t="s">
        <v>6</v>
      </c>
      <c r="F6" s="6" t="s">
        <v>7</v>
      </c>
      <c r="G6" s="7"/>
      <c r="H6" s="8"/>
      <c r="I6" s="8"/>
    </row>
    <row r="7" spans="2:9" ht="16.5">
      <c r="B7" s="4" t="s">
        <v>8</v>
      </c>
      <c r="C7" s="9">
        <v>6423</v>
      </c>
      <c r="D7" s="9">
        <v>22135519.609999999</v>
      </c>
      <c r="E7" s="10">
        <v>26144</v>
      </c>
      <c r="F7" s="9">
        <v>61943208.049999997</v>
      </c>
      <c r="G7" s="7"/>
      <c r="H7" s="8"/>
      <c r="I7" s="8"/>
    </row>
    <row r="8" spans="2:9" ht="16.5">
      <c r="B8" s="4" t="s">
        <v>9</v>
      </c>
      <c r="C8" s="9">
        <v>87058</v>
      </c>
      <c r="D8" s="9">
        <v>315624941.80000001</v>
      </c>
      <c r="E8" s="10">
        <v>80364</v>
      </c>
      <c r="F8" s="9">
        <v>238857055.25</v>
      </c>
      <c r="G8" s="7"/>
      <c r="H8" s="8"/>
      <c r="I8" s="8"/>
    </row>
    <row r="9" spans="2:9" ht="16.5">
      <c r="B9" s="4" t="s">
        <v>10</v>
      </c>
      <c r="C9" s="9">
        <v>501</v>
      </c>
      <c r="D9" s="9">
        <v>2516803</v>
      </c>
      <c r="E9" s="10">
        <v>1582</v>
      </c>
      <c r="F9" s="9">
        <v>5739434.7999999998</v>
      </c>
    </row>
    <row r="10" spans="2:9" ht="16.5">
      <c r="B10" s="4" t="s">
        <v>11</v>
      </c>
      <c r="C10" s="9">
        <v>474</v>
      </c>
      <c r="D10" s="9">
        <v>1633246</v>
      </c>
      <c r="E10" s="10">
        <v>667</v>
      </c>
      <c r="F10" s="9">
        <v>1280181</v>
      </c>
      <c r="G10" s="7"/>
      <c r="H10" s="8"/>
      <c r="I10" s="8"/>
    </row>
    <row r="11" spans="2:9" ht="16.5">
      <c r="B11" s="4" t="s">
        <v>12</v>
      </c>
      <c r="C11" s="9">
        <v>37</v>
      </c>
      <c r="D11" s="9">
        <v>9991.7099999999991</v>
      </c>
      <c r="E11" s="10">
        <v>46</v>
      </c>
      <c r="F11" s="9">
        <v>20888</v>
      </c>
      <c r="G11" s="7"/>
      <c r="H11" s="8"/>
      <c r="I11" s="8"/>
    </row>
    <row r="12" spans="2:9" ht="16.5">
      <c r="B12" s="4" t="s">
        <v>13</v>
      </c>
      <c r="C12" s="9">
        <v>3543</v>
      </c>
      <c r="D12" s="9">
        <v>14184347.939999999</v>
      </c>
      <c r="E12" s="10">
        <v>6089</v>
      </c>
      <c r="F12" s="9">
        <v>17552880.98</v>
      </c>
      <c r="G12" s="7"/>
      <c r="H12" s="8"/>
      <c r="I12" s="8"/>
    </row>
    <row r="13" spans="2:9" ht="16.5">
      <c r="B13" s="4" t="s">
        <v>14</v>
      </c>
      <c r="C13" s="9">
        <v>0</v>
      </c>
      <c r="D13" s="9">
        <v>0</v>
      </c>
      <c r="E13" s="10">
        <v>2</v>
      </c>
      <c r="F13" s="9">
        <v>3</v>
      </c>
      <c r="G13" s="7"/>
      <c r="H13" s="8"/>
      <c r="I13" s="8"/>
    </row>
    <row r="14" spans="2:9" ht="16.5">
      <c r="B14" s="4" t="s">
        <v>15</v>
      </c>
      <c r="C14" s="9">
        <v>46107</v>
      </c>
      <c r="D14" s="9">
        <v>166264769.93000001</v>
      </c>
      <c r="E14" s="10">
        <v>103973</v>
      </c>
      <c r="F14" s="9">
        <v>333040365.95999998</v>
      </c>
      <c r="G14" s="7"/>
      <c r="H14" s="8"/>
      <c r="I14" s="8"/>
    </row>
    <row r="15" spans="2:9" ht="16.5">
      <c r="B15" s="4" t="s">
        <v>16</v>
      </c>
      <c r="C15" s="9">
        <v>4260</v>
      </c>
      <c r="D15" s="9">
        <v>16848161.370000001</v>
      </c>
      <c r="E15" s="10">
        <v>6927</v>
      </c>
      <c r="F15" s="9">
        <v>20793856.09</v>
      </c>
      <c r="G15" s="7"/>
      <c r="H15" s="8"/>
      <c r="I15" s="8"/>
    </row>
    <row r="16" spans="2:9" ht="16.5">
      <c r="B16" s="4" t="s">
        <v>17</v>
      </c>
      <c r="C16" s="9">
        <v>3730</v>
      </c>
      <c r="D16" s="9">
        <v>16187046.9</v>
      </c>
      <c r="E16" s="10">
        <v>6805</v>
      </c>
      <c r="F16" s="9">
        <v>25734669</v>
      </c>
      <c r="G16" s="7"/>
      <c r="H16" s="8"/>
      <c r="I16" s="8"/>
    </row>
    <row r="17" spans="2:9" ht="16.5">
      <c r="B17" s="4" t="s">
        <v>18</v>
      </c>
      <c r="C17" s="9">
        <v>351259</v>
      </c>
      <c r="D17" s="9">
        <v>1146957611.2</v>
      </c>
      <c r="E17" s="10">
        <v>199223</v>
      </c>
      <c r="F17" s="9">
        <v>688333296.13</v>
      </c>
      <c r="G17" s="7"/>
      <c r="H17" s="8"/>
      <c r="I17" s="8"/>
    </row>
    <row r="18" spans="2:9" ht="16.5">
      <c r="B18" s="4" t="s">
        <v>19</v>
      </c>
      <c r="C18" s="9">
        <v>9317</v>
      </c>
      <c r="D18" s="9">
        <v>3648759.6</v>
      </c>
      <c r="E18" s="10">
        <v>18600</v>
      </c>
      <c r="F18" s="9">
        <v>12190715.02</v>
      </c>
      <c r="G18" s="7"/>
      <c r="H18" s="8"/>
      <c r="I18" s="8"/>
    </row>
    <row r="19" spans="2:9" ht="16.5">
      <c r="B19" s="4" t="s">
        <v>20</v>
      </c>
      <c r="C19" s="9">
        <v>52511</v>
      </c>
      <c r="D19" s="9">
        <v>120943472.59999999</v>
      </c>
      <c r="E19" s="10">
        <v>59362</v>
      </c>
      <c r="F19" s="9">
        <v>140730719.90000001</v>
      </c>
      <c r="G19" s="7"/>
      <c r="H19" s="8"/>
      <c r="I19" s="8"/>
    </row>
    <row r="20" spans="2:9" ht="16.5">
      <c r="B20" s="4" t="s">
        <v>21</v>
      </c>
      <c r="C20" s="9">
        <v>0</v>
      </c>
      <c r="D20" s="9">
        <v>0</v>
      </c>
      <c r="E20" s="10">
        <v>201</v>
      </c>
      <c r="F20" s="9">
        <v>1476011.52</v>
      </c>
      <c r="G20" s="7"/>
      <c r="H20" s="8"/>
      <c r="I20" s="8"/>
    </row>
    <row r="21" spans="2:9" ht="16.5">
      <c r="B21" s="4" t="s">
        <v>22</v>
      </c>
      <c r="C21" s="9">
        <v>16983</v>
      </c>
      <c r="D21" s="9">
        <v>77642475.540000007</v>
      </c>
      <c r="E21" s="10">
        <v>30878</v>
      </c>
      <c r="F21" s="9">
        <v>134367217.69</v>
      </c>
      <c r="G21" s="7"/>
      <c r="H21" s="8"/>
      <c r="I21" s="8"/>
    </row>
    <row r="22" spans="2:9" ht="16.5">
      <c r="B22" s="4" t="s">
        <v>23</v>
      </c>
      <c r="C22" s="9">
        <v>82</v>
      </c>
      <c r="D22" s="9">
        <v>671330</v>
      </c>
      <c r="E22" s="10">
        <v>259</v>
      </c>
      <c r="F22" s="9">
        <v>845260.5</v>
      </c>
      <c r="G22" s="7"/>
      <c r="H22" s="8"/>
      <c r="I22" s="8"/>
    </row>
    <row r="23" spans="2:9" ht="16.5">
      <c r="B23" s="4" t="s">
        <v>24</v>
      </c>
      <c r="C23" s="9">
        <v>836</v>
      </c>
      <c r="D23" s="9">
        <v>3721268</v>
      </c>
      <c r="E23" s="10">
        <v>2056</v>
      </c>
      <c r="F23" s="9">
        <v>7792516</v>
      </c>
      <c r="G23" s="7"/>
      <c r="H23" s="8"/>
      <c r="I23" s="8"/>
    </row>
    <row r="24" spans="2:9" ht="16.5">
      <c r="B24" s="4" t="s">
        <v>25</v>
      </c>
      <c r="C24" s="9">
        <v>241</v>
      </c>
      <c r="D24" s="9">
        <v>1052257</v>
      </c>
      <c r="E24" s="10">
        <v>1245</v>
      </c>
      <c r="F24" s="9">
        <v>3307508</v>
      </c>
      <c r="G24" s="7"/>
      <c r="H24" s="8"/>
      <c r="I24" s="8"/>
    </row>
    <row r="25" spans="2:9" ht="16.5">
      <c r="B25" s="4" t="s">
        <v>26</v>
      </c>
      <c r="C25" s="9">
        <v>146</v>
      </c>
      <c r="D25" s="9">
        <v>631013</v>
      </c>
      <c r="E25" s="10">
        <v>445</v>
      </c>
      <c r="F25" s="9">
        <v>1108724</v>
      </c>
      <c r="G25" s="7"/>
      <c r="H25" s="8"/>
      <c r="I25" s="8"/>
    </row>
    <row r="26" spans="2:9" ht="16.5">
      <c r="B26" s="4" t="s">
        <v>27</v>
      </c>
      <c r="C26" s="9">
        <v>21</v>
      </c>
      <c r="D26" s="9">
        <v>140080</v>
      </c>
      <c r="E26" s="10">
        <v>75</v>
      </c>
      <c r="F26" s="9">
        <v>85767</v>
      </c>
      <c r="G26" s="7"/>
      <c r="H26" s="8"/>
      <c r="I26" s="8"/>
    </row>
    <row r="27" spans="2:9" ht="16.5">
      <c r="B27" s="4" t="s">
        <v>28</v>
      </c>
      <c r="C27" s="9">
        <v>53</v>
      </c>
      <c r="D27" s="9">
        <v>238669</v>
      </c>
      <c r="E27" s="10">
        <v>89</v>
      </c>
      <c r="F27" s="9">
        <v>95616</v>
      </c>
      <c r="G27" s="7"/>
      <c r="H27" s="8"/>
      <c r="I27" s="8"/>
    </row>
    <row r="28" spans="2:9" ht="16.5">
      <c r="B28" s="4" t="s">
        <v>29</v>
      </c>
      <c r="C28" s="9">
        <v>64</v>
      </c>
      <c r="D28" s="9">
        <v>162670</v>
      </c>
      <c r="E28" s="10">
        <v>1643</v>
      </c>
      <c r="F28" s="9">
        <v>7791275</v>
      </c>
      <c r="G28" s="7"/>
      <c r="H28" s="8"/>
      <c r="I28" s="8"/>
    </row>
    <row r="29" spans="2:9" ht="16.5">
      <c r="B29" s="4" t="s">
        <v>30</v>
      </c>
      <c r="C29" s="9">
        <v>2184</v>
      </c>
      <c r="D29" s="9">
        <v>12154427</v>
      </c>
      <c r="E29" s="10">
        <v>3889</v>
      </c>
      <c r="F29" s="9">
        <v>17993970.559999999</v>
      </c>
      <c r="G29" s="7"/>
      <c r="H29" s="8"/>
      <c r="I29" s="8"/>
    </row>
    <row r="30" spans="2:9" ht="16.5">
      <c r="B30" s="4" t="s">
        <v>31</v>
      </c>
      <c r="C30" s="9">
        <v>1017</v>
      </c>
      <c r="D30" s="9">
        <v>4129954.39</v>
      </c>
      <c r="E30" s="10">
        <v>3872</v>
      </c>
      <c r="F30" s="9">
        <v>36924148.329999998</v>
      </c>
      <c r="G30" s="7"/>
      <c r="H30" s="8"/>
      <c r="I30" s="8"/>
    </row>
    <row r="31" spans="2:9" ht="16.5">
      <c r="B31" s="4" t="s">
        <v>32</v>
      </c>
      <c r="C31" s="9">
        <v>27288</v>
      </c>
      <c r="D31" s="9">
        <v>42011508.130000003</v>
      </c>
      <c r="E31" s="10">
        <v>41681</v>
      </c>
      <c r="F31" s="9">
        <v>21977404.600000001</v>
      </c>
      <c r="G31" s="7"/>
      <c r="H31" s="8"/>
      <c r="I31" s="8"/>
    </row>
    <row r="32" spans="2:9" ht="16.5">
      <c r="B32" s="4" t="s">
        <v>33</v>
      </c>
      <c r="C32" s="9">
        <v>60</v>
      </c>
      <c r="D32" s="9">
        <v>220573</v>
      </c>
      <c r="E32" s="10">
        <v>164</v>
      </c>
      <c r="F32" s="9">
        <v>396779.5</v>
      </c>
      <c r="G32" s="7"/>
      <c r="H32" s="8"/>
      <c r="I32" s="8"/>
    </row>
    <row r="33" spans="2:9" ht="16.5">
      <c r="B33" s="4" t="s">
        <v>34</v>
      </c>
      <c r="C33" s="9">
        <v>4077</v>
      </c>
      <c r="D33" s="9">
        <v>14047777.17</v>
      </c>
      <c r="E33" s="10">
        <v>11878</v>
      </c>
      <c r="F33" s="9">
        <v>28877217</v>
      </c>
      <c r="G33" s="7"/>
      <c r="H33" s="8"/>
      <c r="I33" s="8"/>
    </row>
    <row r="34" spans="2:9" ht="16.5">
      <c r="B34" s="4" t="s">
        <v>35</v>
      </c>
      <c r="C34" s="9">
        <v>45579</v>
      </c>
      <c r="D34" s="9">
        <v>3112179.48</v>
      </c>
      <c r="E34" s="10">
        <v>146</v>
      </c>
      <c r="F34" s="9">
        <v>127012</v>
      </c>
      <c r="G34" s="7"/>
      <c r="H34" s="8"/>
      <c r="I34" s="8"/>
    </row>
    <row r="35" spans="2:9" ht="16.5">
      <c r="B35" s="4" t="s">
        <v>36</v>
      </c>
      <c r="C35" s="9">
        <v>1449</v>
      </c>
      <c r="D35" s="9">
        <v>7024854</v>
      </c>
      <c r="E35" s="10">
        <v>2799</v>
      </c>
      <c r="F35" s="9">
        <v>13741142.16</v>
      </c>
      <c r="G35" s="7"/>
      <c r="H35" s="8"/>
      <c r="I35" s="8"/>
    </row>
    <row r="36" spans="2:9" ht="16.5">
      <c r="B36" s="4" t="s">
        <v>37</v>
      </c>
      <c r="C36" s="9">
        <v>38</v>
      </c>
      <c r="D36" s="9">
        <v>15521</v>
      </c>
      <c r="E36" s="10">
        <v>81</v>
      </c>
      <c r="F36" s="9">
        <v>63975</v>
      </c>
      <c r="G36" s="7"/>
      <c r="H36" s="8"/>
      <c r="I36" s="8"/>
    </row>
    <row r="37" spans="2:9" ht="16.5">
      <c r="B37" s="4" t="s">
        <v>38</v>
      </c>
      <c r="C37" s="9">
        <v>7</v>
      </c>
      <c r="D37" s="9">
        <v>72105</v>
      </c>
      <c r="E37" s="10">
        <v>0</v>
      </c>
      <c r="F37" s="9">
        <v>0</v>
      </c>
      <c r="G37" s="7"/>
      <c r="H37" s="8"/>
      <c r="I37" s="8"/>
    </row>
    <row r="38" spans="2:9" ht="16.5">
      <c r="B38" s="4" t="s">
        <v>39</v>
      </c>
      <c r="C38" s="9">
        <v>2</v>
      </c>
      <c r="D38" s="9">
        <v>1170</v>
      </c>
      <c r="E38" s="10">
        <v>26</v>
      </c>
      <c r="F38" s="9">
        <v>84860</v>
      </c>
      <c r="G38" s="7"/>
      <c r="H38" s="8"/>
      <c r="I38" s="8"/>
    </row>
    <row r="39" spans="2:9" ht="16.5">
      <c r="B39" s="4" t="s">
        <v>40</v>
      </c>
      <c r="C39" s="9">
        <v>3041</v>
      </c>
      <c r="D39" s="9">
        <v>10411954.74</v>
      </c>
      <c r="E39" s="10">
        <v>2859</v>
      </c>
      <c r="F39" s="9">
        <v>13102952</v>
      </c>
      <c r="G39" s="7"/>
      <c r="H39" s="8"/>
      <c r="I39" s="8"/>
    </row>
    <row r="40" spans="2:9" ht="16.5">
      <c r="B40" s="4" t="s">
        <v>41</v>
      </c>
      <c r="C40" s="9">
        <v>273</v>
      </c>
      <c r="D40" s="9">
        <v>669237</v>
      </c>
      <c r="E40" s="10">
        <v>185</v>
      </c>
      <c r="F40" s="9">
        <v>664290</v>
      </c>
      <c r="G40" s="7"/>
      <c r="H40" s="8"/>
      <c r="I40" s="8"/>
    </row>
    <row r="41" spans="2:9" ht="16.5">
      <c r="B41" s="4" t="s">
        <v>42</v>
      </c>
      <c r="C41" s="9">
        <v>2</v>
      </c>
      <c r="D41" s="9">
        <v>1350</v>
      </c>
      <c r="E41" s="10">
        <v>36</v>
      </c>
      <c r="F41" s="9">
        <v>775272</v>
      </c>
      <c r="G41" s="11"/>
    </row>
    <row r="42" spans="2:9" ht="16.5">
      <c r="B42" s="4" t="s">
        <v>43</v>
      </c>
      <c r="C42" s="9">
        <v>92</v>
      </c>
      <c r="D42" s="9">
        <v>293264</v>
      </c>
      <c r="E42" s="10">
        <v>687</v>
      </c>
      <c r="F42" s="9">
        <v>1988850</v>
      </c>
      <c r="G42" s="11"/>
    </row>
    <row r="43" spans="2:9" ht="16.5">
      <c r="B43" s="4" t="s">
        <v>44</v>
      </c>
      <c r="C43" s="9">
        <v>265</v>
      </c>
      <c r="D43" s="9">
        <v>574179.5</v>
      </c>
      <c r="E43" s="10">
        <v>1389</v>
      </c>
      <c r="F43" s="9">
        <v>1460994</v>
      </c>
      <c r="G43" s="11"/>
    </row>
    <row r="44" spans="2:9" ht="16.5">
      <c r="B44" s="4" t="s">
        <v>45</v>
      </c>
      <c r="C44" s="9">
        <v>6007</v>
      </c>
      <c r="D44" s="9">
        <v>23448907</v>
      </c>
      <c r="E44" s="10">
        <v>38535</v>
      </c>
      <c r="F44" s="9">
        <v>147803713</v>
      </c>
      <c r="G44" s="7"/>
      <c r="H44" s="8"/>
      <c r="I44" s="8"/>
    </row>
    <row r="45" spans="2:9" ht="16.5">
      <c r="B45" s="4" t="s">
        <v>46</v>
      </c>
      <c r="C45" s="9">
        <v>123</v>
      </c>
      <c r="D45" s="9">
        <v>887327</v>
      </c>
      <c r="E45" s="10">
        <v>596</v>
      </c>
      <c r="F45" s="9">
        <v>1898756</v>
      </c>
      <c r="G45" s="7"/>
      <c r="H45" s="8"/>
      <c r="I45" s="8"/>
    </row>
    <row r="46" spans="2:9" ht="16.5">
      <c r="B46" s="4" t="s">
        <v>47</v>
      </c>
      <c r="C46" s="9">
        <v>1825</v>
      </c>
      <c r="D46" s="9">
        <v>8546291</v>
      </c>
      <c r="E46" s="10">
        <v>5103</v>
      </c>
      <c r="F46" s="9">
        <v>18022003</v>
      </c>
      <c r="G46" s="7"/>
      <c r="H46" s="8"/>
      <c r="I46" s="8"/>
    </row>
    <row r="47" spans="2:9" ht="16.5">
      <c r="B47" s="4" t="s">
        <v>48</v>
      </c>
      <c r="C47" s="9">
        <v>257</v>
      </c>
      <c r="D47" s="9">
        <v>941071</v>
      </c>
      <c r="E47" s="10">
        <v>677</v>
      </c>
      <c r="F47" s="9">
        <v>1571231.52</v>
      </c>
      <c r="G47" s="7"/>
      <c r="H47" s="8"/>
      <c r="I47" s="8"/>
    </row>
    <row r="48" spans="2:9" ht="16.5">
      <c r="B48" s="4" t="s">
        <v>49</v>
      </c>
      <c r="C48" s="9">
        <v>144</v>
      </c>
      <c r="D48" s="9">
        <v>1065803</v>
      </c>
      <c r="E48" s="10">
        <v>1226</v>
      </c>
      <c r="F48" s="9">
        <v>6121532</v>
      </c>
    </row>
    <row r="49" spans="2:9" ht="16.5">
      <c r="B49" s="4" t="s">
        <v>50</v>
      </c>
      <c r="C49" s="9">
        <v>9619</v>
      </c>
      <c r="D49" s="9">
        <v>28478425.609999999</v>
      </c>
      <c r="E49" s="10">
        <v>23331</v>
      </c>
      <c r="F49" s="9">
        <v>50028578.530000001</v>
      </c>
      <c r="G49" s="7"/>
      <c r="H49" s="8"/>
      <c r="I49" s="8"/>
    </row>
    <row r="50" spans="2:9" ht="16.5">
      <c r="B50" s="4" t="s">
        <v>51</v>
      </c>
      <c r="C50" s="9">
        <v>103</v>
      </c>
      <c r="D50" s="9">
        <v>190169.5</v>
      </c>
      <c r="E50" s="10">
        <v>149</v>
      </c>
      <c r="F50" s="9">
        <v>111524</v>
      </c>
      <c r="G50" s="11"/>
    </row>
    <row r="51" spans="2:9" ht="16.5">
      <c r="B51" s="4" t="s">
        <v>52</v>
      </c>
      <c r="C51" s="9">
        <v>12</v>
      </c>
      <c r="D51" s="9">
        <v>38802</v>
      </c>
      <c r="E51" s="10">
        <v>6</v>
      </c>
      <c r="F51" s="9">
        <v>4428</v>
      </c>
      <c r="G51" s="7"/>
      <c r="H51" s="8"/>
      <c r="I51" s="8"/>
    </row>
    <row r="52" spans="2:9" ht="16.5">
      <c r="B52" s="4" t="s">
        <v>53</v>
      </c>
      <c r="C52" s="9">
        <v>582</v>
      </c>
      <c r="D52" s="9">
        <v>2843718.5</v>
      </c>
      <c r="E52" s="10">
        <v>1185</v>
      </c>
      <c r="F52" s="9">
        <v>3804742</v>
      </c>
      <c r="G52" s="12"/>
      <c r="H52" s="8"/>
      <c r="I52" s="8"/>
    </row>
    <row r="53" spans="2:9" ht="16.5">
      <c r="B53" s="4" t="s">
        <v>54</v>
      </c>
      <c r="C53" s="9">
        <v>647</v>
      </c>
      <c r="D53" s="9">
        <v>6121578.46</v>
      </c>
      <c r="E53" s="10">
        <v>1164</v>
      </c>
      <c r="F53" s="9">
        <v>7884037.5899999999</v>
      </c>
      <c r="G53" s="7"/>
      <c r="H53" s="8"/>
      <c r="I53" s="8"/>
    </row>
    <row r="54" spans="2:9">
      <c r="B54" s="13" t="s">
        <v>55</v>
      </c>
      <c r="C54" s="14">
        <f>SUM(C7:C53)</f>
        <v>688339</v>
      </c>
      <c r="D54" s="14">
        <f>SUM(D7:D53)</f>
        <v>2078516581.6800001</v>
      </c>
      <c r="E54" s="14">
        <f>SUM(E7:E53)</f>
        <v>688339</v>
      </c>
      <c r="F54" s="14">
        <f>SUM(F7:F53)</f>
        <v>2078516581.6799998</v>
      </c>
    </row>
  </sheetData>
  <mergeCells count="7">
    <mergeCell ref="B1:F1"/>
    <mergeCell ref="B2:F2"/>
    <mergeCell ref="B3:F3"/>
    <mergeCell ref="B4:F4"/>
    <mergeCell ref="C5:D5"/>
    <mergeCell ref="E5:F5"/>
    <mergeCell ref="B5:B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Foziya Redi</dc:creator>
  <cp:lastModifiedBy>Eyob Dereje</cp:lastModifiedBy>
  <dcterms:created xsi:type="dcterms:W3CDTF">2021-05-26T10:19:00Z</dcterms:created>
  <dcterms:modified xsi:type="dcterms:W3CDTF">2026-05-19T08:25:57Z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EE1120870B0E4006B843BC7B7A83C891_13</vt:lpwstr>
  </property>
  <property fmtid="{D5CDD505-2E9C-101B-9397-08002B2CF9AE}" pid="3" name="KSOProductBuildVer">
    <vt:lpwstr>1033-12.2.0.20326</vt:lpwstr>
  </property>
  <property fmtid="{D5CDD505-2E9C-101B-9397-08002B2CF9AE}" pid="4" name="CalculationRule">
    <vt:i4>0</vt:i4>
  </property>
</Properties>
</file>