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23,2026\"/>
    </mc:Choice>
  </mc:AlternateContent>
  <bookViews>
    <workbookView xWindow="0" yWindow="0" windowWidth="20496" windowHeight="7752"/>
  </bookViews>
  <sheets>
    <sheet name="Sheet1" sheetId="1" r:id="rId1"/>
  </sheets>
  <definedNames>
    <definedName name="_xlnm._FilterDatabase" localSheetId="0" hidden="1">Sheet1!$B$7:$F$50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E57" i="1"/>
  <c r="D57" i="1"/>
  <c r="C57" i="1"/>
</calcChain>
</file>

<file path=xl/sharedStrings.xml><?xml version="1.0" encoding="utf-8"?>
<sst xmlns="http://schemas.openxmlformats.org/spreadsheetml/2006/main" count="61" uniqueCount="59">
  <si>
    <t>EthSwitch S.C.</t>
  </si>
  <si>
    <t>IPS Successful Report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</si>
  <si>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</si>
  <si>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</si>
  <si>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</si>
  <si>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</si>
  <si>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</si>
  <si>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</si>
  <si>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</si>
  <si>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</si>
  <si>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</si>
  <si>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</si>
  <si>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</si>
  <si>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</si>
  <si>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</si>
  <si>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</si>
  <si>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</si>
  <si>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</si>
  <si>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</si>
  <si>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</si>
  <si>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</si>
  <si>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</si>
  <si>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</si>
  <si>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Dire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</si>
  <si>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</si>
  <si>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</si>
  <si>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</si>
  <si>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</si>
  <si>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</si>
  <si>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</si>
  <si>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</si>
  <si>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</si>
  <si>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</si>
  <si>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</si>
  <si>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</si>
  <si>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</si>
  <si>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</si>
  <si>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</si>
  <si>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</si>
  <si>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</si>
  <si>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</si>
  <si>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</si>
  <si>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</si>
  <si>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Sahay Pay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</si>
  <si>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</si>
  <si>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</si>
  <si>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</si>
  <si>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</si>
  <si>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</si>
  <si>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</si>
  <si>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</si>
  <si>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</si>
  <si>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</si>
  <si>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</si>
  <si>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</si>
  <si>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</si>
  <si>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</si>
  <si>
    <t>Successful IPS Interoperable Transactions Held on May 23,2026</t>
  </si>
  <si>
    <t>Vitabirr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</si>
</sst>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tabSelected="1" workbookViewId="0">
      <selection activeCell="K19" sqref="K19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0" style="3" customWidth="1"/>
    <col min="5" max="5" width="19" style="2" customWidth="1"/>
    <col min="6" max="6" width="16.8867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12" ht="15.6">
      <c r="B1" s="15" t="s">
        <v>0</v>
      </c>
      <c r="C1" s="15"/>
      <c r="D1" s="15"/>
      <c r="E1" s="15"/>
      <c r="F1" s="15"/>
    </row>
    <row r="2" spans="2:12" ht="15.6">
      <c r="B2" s="15" t="s">
        <v>1</v>
      </c>
      <c r="C2" s="15"/>
      <c r="D2" s="15"/>
      <c r="E2" s="15"/>
      <c r="F2" s="15"/>
    </row>
    <row r="3" spans="2:12" ht="15.6">
      <c r="B3" s="16">
        <v>46165</v>
      </c>
      <c r="C3" s="16"/>
      <c r="D3" s="16"/>
      <c r="E3" s="16"/>
      <c r="F3" s="16"/>
    </row>
    <row r="4" spans="2:12" ht="20.25" customHeight="1">
      <c r="B4" s="17" t="s">
        <v>57</v>
      </c>
      <c r="C4" s="17"/>
      <c r="D4" s="17"/>
      <c r="E4" s="17"/>
      <c r="F4" s="17"/>
    </row>
    <row r="5" spans="2:12" ht="13.95" customHeight="1">
      <c r="B5" s="18" t="s">
        <v>2</v>
      </c>
      <c r="C5" s="18" t="s">
        <v>3</v>
      </c>
      <c r="D5" s="18"/>
      <c r="E5" s="18" t="s">
        <v>4</v>
      </c>
      <c r="F5" s="18"/>
    </row>
    <row r="6" spans="2:12">
      <c r="B6" s="18"/>
      <c r="C6" s="5" t="s">
        <v>5</v>
      </c>
      <c r="D6" s="6" t="s">
        <v>6</v>
      </c>
      <c r="E6" s="5" t="s">
        <v>5</v>
      </c>
      <c r="F6" s="6" t="s">
        <v>6</v>
      </c>
      <c r="G6" s="7"/>
      <c r="H6" s="8"/>
      <c r="I6" s="8"/>
    </row>
    <row r="7" spans="2:12">
      <c r="B7" s="4" t="s">
        <v>7</v>
      </c>
      <c r="C7" s="9">
        <v>9370</v>
      </c>
      <c r="D7" s="9">
        <v>43432231.259999998</v>
      </c>
      <c r="E7" s="10">
        <v>32847</v>
      </c>
      <c r="F7" s="9">
        <v>105139880.22</v>
      </c>
      <c r="G7" s="7"/>
      <c r="H7" s="8"/>
      <c r="I7" s="8"/>
      <c r="J7" s="8"/>
      <c r="K7" s="8"/>
      <c r="L7" s="8"/>
    </row>
    <row r="8" spans="2:12">
      <c r="B8" s="4" t="s">
        <v>8</v>
      </c>
      <c r="C8" s="9">
        <v>108822</v>
      </c>
      <c r="D8" s="9">
        <v>538958248.20000005</v>
      </c>
      <c r="E8" s="10">
        <v>152590</v>
      </c>
      <c r="F8" s="9">
        <v>649940978.82000005</v>
      </c>
      <c r="G8" s="7"/>
      <c r="I8" s="8"/>
      <c r="J8" s="8"/>
      <c r="K8" s="8"/>
      <c r="L8" s="8"/>
    </row>
    <row r="9" spans="2:12">
      <c r="B9" s="4" t="s">
        <v>9</v>
      </c>
      <c r="C9" s="9">
        <v>565</v>
      </c>
      <c r="D9" s="9">
        <v>3723460</v>
      </c>
      <c r="E9" s="10">
        <v>2275</v>
      </c>
      <c r="F9" s="9">
        <v>17046555.16</v>
      </c>
      <c r="H9" s="8"/>
      <c r="I9" s="8"/>
      <c r="J9" s="8"/>
      <c r="K9" s="8"/>
      <c r="L9" s="8"/>
    </row>
    <row r="10" spans="2:12">
      <c r="B10" s="4" t="s">
        <v>10</v>
      </c>
      <c r="C10" s="9">
        <v>607</v>
      </c>
      <c r="D10" s="9">
        <v>3367847.76</v>
      </c>
      <c r="E10" s="10">
        <v>1499</v>
      </c>
      <c r="F10" s="9">
        <v>4861227</v>
      </c>
      <c r="G10" s="7"/>
      <c r="I10" s="8"/>
      <c r="J10" s="8"/>
      <c r="K10" s="8"/>
      <c r="L10" s="8"/>
    </row>
    <row r="11" spans="2:12">
      <c r="B11" s="4" t="s">
        <v>11</v>
      </c>
      <c r="C11" s="9">
        <v>44</v>
      </c>
      <c r="D11" s="9">
        <v>15232</v>
      </c>
      <c r="E11" s="10">
        <v>51</v>
      </c>
      <c r="F11" s="9">
        <v>26226</v>
      </c>
      <c r="G11" s="7"/>
      <c r="I11" s="8"/>
      <c r="J11" s="8"/>
      <c r="K11" s="8"/>
      <c r="L11" s="8"/>
    </row>
    <row r="12" spans="2:12">
      <c r="B12" s="4" t="s">
        <v>12</v>
      </c>
      <c r="C12" s="9">
        <v>4865</v>
      </c>
      <c r="D12" s="9">
        <v>24708534.449999999</v>
      </c>
      <c r="E12" s="10">
        <v>10742</v>
      </c>
      <c r="F12" s="9">
        <v>44868867.380000003</v>
      </c>
      <c r="G12" s="7"/>
      <c r="H12" s="8"/>
      <c r="I12" s="8"/>
      <c r="J12" s="8"/>
      <c r="K12" s="8"/>
      <c r="L12" s="8"/>
    </row>
    <row r="13" spans="2:12">
      <c r="B13" s="4" t="s">
        <v>13</v>
      </c>
      <c r="C13" s="9">
        <v>0</v>
      </c>
      <c r="D13" s="9">
        <v>0</v>
      </c>
      <c r="E13" s="10">
        <v>1</v>
      </c>
      <c r="F13" s="9">
        <v>1</v>
      </c>
      <c r="G13" s="7"/>
      <c r="H13" s="8"/>
      <c r="I13" s="8"/>
      <c r="J13" s="8"/>
      <c r="K13" s="8"/>
      <c r="L13" s="8"/>
    </row>
    <row r="14" spans="2:12">
      <c r="B14" s="4" t="s">
        <v>14</v>
      </c>
      <c r="C14" s="9">
        <v>69375</v>
      </c>
      <c r="D14" s="9">
        <v>344660375.30000001</v>
      </c>
      <c r="E14" s="10">
        <v>147487</v>
      </c>
      <c r="F14" s="9">
        <v>717318218.00999999</v>
      </c>
      <c r="G14" s="7"/>
      <c r="H14" s="8"/>
      <c r="I14" s="8"/>
      <c r="J14" s="8"/>
      <c r="K14" s="8"/>
      <c r="L14" s="8"/>
    </row>
    <row r="15" spans="2:12">
      <c r="B15" s="4" t="s">
        <v>15</v>
      </c>
      <c r="C15" s="9">
        <v>5420</v>
      </c>
      <c r="D15" s="9">
        <v>31447133.77</v>
      </c>
      <c r="E15" s="10">
        <v>13769</v>
      </c>
      <c r="F15" s="9">
        <v>57743697.390000001</v>
      </c>
      <c r="G15" s="7"/>
      <c r="I15" s="8"/>
      <c r="J15" s="8"/>
      <c r="K15" s="8"/>
      <c r="L15" s="8"/>
    </row>
    <row r="16" spans="2:12">
      <c r="B16" s="4" t="s">
        <v>16</v>
      </c>
      <c r="C16" s="9">
        <v>5401</v>
      </c>
      <c r="D16" s="9">
        <v>31439195.34</v>
      </c>
      <c r="E16" s="10">
        <v>11903</v>
      </c>
      <c r="F16" s="9">
        <v>69313419</v>
      </c>
      <c r="G16" s="7"/>
      <c r="I16" s="8"/>
      <c r="J16" s="8"/>
      <c r="K16" s="8"/>
      <c r="L16" s="8"/>
    </row>
    <row r="17" spans="2:12">
      <c r="B17" s="4" t="s">
        <v>17</v>
      </c>
      <c r="C17" s="9">
        <v>519021</v>
      </c>
      <c r="D17" s="9">
        <v>2428182882.6700001</v>
      </c>
      <c r="E17" s="10">
        <v>247367</v>
      </c>
      <c r="F17" s="9">
        <v>1120718306.24</v>
      </c>
      <c r="G17" s="7"/>
      <c r="H17" s="8"/>
      <c r="I17" s="8"/>
      <c r="J17" s="8"/>
      <c r="K17" s="8"/>
      <c r="L17" s="8"/>
    </row>
    <row r="18" spans="2:12">
      <c r="B18" s="4" t="s">
        <v>18</v>
      </c>
      <c r="C18" s="9">
        <v>10294</v>
      </c>
      <c r="D18" s="9">
        <v>5159625.72</v>
      </c>
      <c r="E18" s="10">
        <v>18178</v>
      </c>
      <c r="F18" s="9">
        <v>16334968.16</v>
      </c>
      <c r="G18" s="7"/>
      <c r="H18" s="8"/>
      <c r="I18" s="8"/>
      <c r="J18" s="8"/>
      <c r="K18" s="8"/>
      <c r="L18" s="8"/>
    </row>
    <row r="19" spans="2:12">
      <c r="B19" s="4" t="s">
        <v>19</v>
      </c>
      <c r="C19" s="9">
        <v>57935</v>
      </c>
      <c r="D19" s="9">
        <v>180908195.34</v>
      </c>
      <c r="E19" s="10">
        <v>71371</v>
      </c>
      <c r="F19" s="9">
        <v>245009300.53</v>
      </c>
      <c r="G19" s="7"/>
      <c r="H19" s="8"/>
      <c r="I19" s="8"/>
      <c r="J19" s="8"/>
      <c r="K19" s="8"/>
      <c r="L19" s="8"/>
    </row>
    <row r="20" spans="2:12">
      <c r="B20" s="4" t="s">
        <v>20</v>
      </c>
      <c r="C20" s="9">
        <v>0</v>
      </c>
      <c r="D20" s="9">
        <v>0</v>
      </c>
      <c r="E20" s="10">
        <v>289</v>
      </c>
      <c r="F20" s="9">
        <v>821648</v>
      </c>
      <c r="G20" s="7"/>
      <c r="H20" s="8"/>
      <c r="I20" s="8"/>
      <c r="J20" s="8"/>
      <c r="K20" s="8"/>
      <c r="L20" s="8"/>
    </row>
    <row r="21" spans="2:12">
      <c r="B21" s="4" t="s">
        <v>21</v>
      </c>
      <c r="C21" s="9">
        <v>21549</v>
      </c>
      <c r="D21" s="9">
        <v>134602101.34</v>
      </c>
      <c r="E21" s="10">
        <v>46319</v>
      </c>
      <c r="F21" s="9">
        <v>319883273.54000002</v>
      </c>
      <c r="G21" s="7"/>
      <c r="H21" s="8"/>
      <c r="I21" s="8"/>
      <c r="J21" s="8"/>
      <c r="K21" s="8"/>
      <c r="L21" s="8"/>
    </row>
    <row r="22" spans="2:12">
      <c r="B22" s="4" t="s">
        <v>22</v>
      </c>
      <c r="C22" s="9">
        <v>8</v>
      </c>
      <c r="D22" s="9">
        <v>10200</v>
      </c>
      <c r="E22" s="10">
        <v>40</v>
      </c>
      <c r="F22" s="9">
        <v>294424</v>
      </c>
      <c r="G22" s="7"/>
      <c r="I22" s="8"/>
      <c r="J22" s="8"/>
      <c r="K22" s="8"/>
      <c r="L22" s="8"/>
    </row>
    <row r="23" spans="2:12">
      <c r="B23" s="4" t="s">
        <v>23</v>
      </c>
      <c r="C23" s="9"/>
      <c r="D23" s="9"/>
      <c r="E23" s="10"/>
      <c r="F23" s="9"/>
      <c r="G23" s="7"/>
    </row>
    <row r="24" spans="2:12">
      <c r="B24" s="4" t="s">
        <v>24</v>
      </c>
      <c r="C24" s="9">
        <v>1377</v>
      </c>
      <c r="D24" s="9">
        <v>10825377.189999999</v>
      </c>
      <c r="E24" s="10">
        <v>4161</v>
      </c>
      <c r="F24" s="9">
        <v>24004982</v>
      </c>
      <c r="G24" s="7"/>
      <c r="I24" s="8"/>
      <c r="J24" s="8"/>
      <c r="K24" s="8"/>
      <c r="L24" s="8"/>
    </row>
    <row r="25" spans="2:12">
      <c r="B25" s="4" t="s">
        <v>25</v>
      </c>
      <c r="C25" s="9">
        <v>281</v>
      </c>
      <c r="D25" s="9">
        <v>1094810</v>
      </c>
      <c r="E25" s="10">
        <v>1690</v>
      </c>
      <c r="F25" s="9">
        <v>6242809.7999999998</v>
      </c>
      <c r="G25" s="7"/>
      <c r="H25" s="8"/>
      <c r="I25" s="8"/>
      <c r="J25" s="8"/>
      <c r="K25" s="8"/>
      <c r="L25" s="8"/>
    </row>
    <row r="26" spans="2:12">
      <c r="B26" s="4" t="s">
        <v>26</v>
      </c>
      <c r="C26" s="9">
        <v>268</v>
      </c>
      <c r="D26" s="9">
        <v>2180740</v>
      </c>
      <c r="E26" s="10">
        <v>1151</v>
      </c>
      <c r="F26" s="9">
        <v>4533168</v>
      </c>
      <c r="G26" s="7"/>
      <c r="H26" s="8"/>
      <c r="I26" s="8"/>
      <c r="J26" s="8"/>
      <c r="K26" s="8"/>
      <c r="L26" s="8"/>
    </row>
    <row r="27" spans="2:12">
      <c r="B27" s="4" t="s">
        <v>27</v>
      </c>
      <c r="C27" s="9">
        <v>32</v>
      </c>
      <c r="D27" s="9">
        <v>320125</v>
      </c>
      <c r="E27" s="10">
        <v>113</v>
      </c>
      <c r="F27" s="9">
        <v>180737</v>
      </c>
      <c r="G27" s="7"/>
      <c r="H27" s="8"/>
      <c r="I27" s="8"/>
      <c r="J27" s="8"/>
      <c r="K27" s="8"/>
      <c r="L27" s="8"/>
    </row>
    <row r="28" spans="2:12">
      <c r="B28" s="4" t="s">
        <v>28</v>
      </c>
      <c r="C28" s="9">
        <v>58</v>
      </c>
      <c r="D28" s="9">
        <v>190792</v>
      </c>
      <c r="E28" s="10">
        <v>150</v>
      </c>
      <c r="F28" s="9">
        <v>186926</v>
      </c>
      <c r="G28" s="7"/>
      <c r="H28" s="8"/>
      <c r="I28" s="8"/>
      <c r="J28" s="8"/>
      <c r="K28" s="8"/>
      <c r="L28" s="8"/>
    </row>
    <row r="29" spans="2:12">
      <c r="B29" s="4" t="s">
        <v>29</v>
      </c>
      <c r="C29" s="9">
        <v>77</v>
      </c>
      <c r="D29" s="9">
        <v>185515.45</v>
      </c>
      <c r="E29" s="10">
        <v>1462</v>
      </c>
      <c r="F29" s="9">
        <v>8703868</v>
      </c>
      <c r="G29" s="7"/>
      <c r="H29" s="8"/>
      <c r="I29" s="8"/>
      <c r="J29" s="8"/>
      <c r="K29" s="8"/>
      <c r="L29" s="8"/>
    </row>
    <row r="30" spans="2:12">
      <c r="B30" s="4" t="s">
        <v>30</v>
      </c>
      <c r="C30" s="9">
        <v>3297</v>
      </c>
      <c r="D30" s="9">
        <v>25038294.550000001</v>
      </c>
      <c r="E30" s="10">
        <v>6275</v>
      </c>
      <c r="F30" s="9">
        <v>42909521.789999999</v>
      </c>
      <c r="G30" s="7"/>
      <c r="H30" s="8"/>
      <c r="I30" s="8"/>
      <c r="J30" s="8"/>
      <c r="K30" s="8"/>
      <c r="L30" s="8"/>
    </row>
    <row r="31" spans="2:12">
      <c r="B31" s="4" t="s">
        <v>31</v>
      </c>
      <c r="C31" s="9">
        <v>1271</v>
      </c>
      <c r="D31" s="9">
        <v>7457016</v>
      </c>
      <c r="E31" s="10">
        <v>4733</v>
      </c>
      <c r="F31" s="9">
        <v>68176520.950000003</v>
      </c>
      <c r="G31" s="7"/>
      <c r="H31" s="8"/>
      <c r="I31" s="8"/>
      <c r="J31" s="8"/>
      <c r="K31" s="8"/>
      <c r="L31" s="8"/>
    </row>
    <row r="32" spans="2:12">
      <c r="B32" s="4" t="s">
        <v>32</v>
      </c>
      <c r="C32" s="9">
        <v>29955</v>
      </c>
      <c r="D32" s="9">
        <v>52507260.030000001</v>
      </c>
      <c r="E32" s="10">
        <v>45278</v>
      </c>
      <c r="F32" s="9">
        <v>31858883.710000001</v>
      </c>
      <c r="G32" s="7"/>
      <c r="H32" s="8"/>
      <c r="I32" s="8"/>
      <c r="J32" s="8"/>
      <c r="K32" s="8"/>
      <c r="L32" s="8"/>
    </row>
    <row r="33" spans="2:12">
      <c r="B33" s="4" t="s">
        <v>33</v>
      </c>
      <c r="C33" s="9">
        <v>630</v>
      </c>
      <c r="D33" s="9">
        <v>6850036.3499999996</v>
      </c>
      <c r="E33" s="10">
        <v>531</v>
      </c>
      <c r="F33" s="9">
        <v>4708907</v>
      </c>
      <c r="G33" s="7"/>
      <c r="H33" s="8"/>
      <c r="I33" s="8"/>
      <c r="J33" s="8"/>
      <c r="K33" s="8"/>
      <c r="L33" s="8"/>
    </row>
    <row r="34" spans="2:12">
      <c r="B34" s="4" t="s">
        <v>34</v>
      </c>
      <c r="C34" s="9">
        <v>5809</v>
      </c>
      <c r="D34" s="9">
        <v>24510382.640000001</v>
      </c>
      <c r="E34" s="10">
        <v>15208</v>
      </c>
      <c r="F34" s="9">
        <v>56104398.509999998</v>
      </c>
      <c r="G34" s="7"/>
      <c r="H34" s="8"/>
      <c r="I34" s="8"/>
      <c r="J34" s="8"/>
      <c r="K34" s="8"/>
      <c r="L34" s="8"/>
    </row>
    <row r="35" spans="2:12">
      <c r="B35" s="4" t="s">
        <v>35</v>
      </c>
      <c r="C35" s="9">
        <v>49444</v>
      </c>
      <c r="D35" s="9">
        <v>3758045.34</v>
      </c>
      <c r="E35" s="10">
        <v>230</v>
      </c>
      <c r="F35" s="9">
        <v>305989</v>
      </c>
      <c r="G35" s="7"/>
      <c r="H35" s="8"/>
      <c r="I35" s="8"/>
      <c r="J35" s="8"/>
      <c r="K35" s="8"/>
      <c r="L35" s="8"/>
    </row>
    <row r="36" spans="2:12">
      <c r="B36" s="4" t="s">
        <v>36</v>
      </c>
      <c r="C36" s="9">
        <v>2247</v>
      </c>
      <c r="D36" s="9">
        <v>15386835.689999999</v>
      </c>
      <c r="E36" s="10">
        <v>6339</v>
      </c>
      <c r="F36" s="9">
        <v>37163850.119999997</v>
      </c>
      <c r="G36" s="7"/>
      <c r="H36" s="8"/>
      <c r="I36" s="8"/>
      <c r="J36" s="8"/>
      <c r="K36" s="8"/>
      <c r="L36" s="8"/>
    </row>
    <row r="37" spans="2:12">
      <c r="B37" s="4" t="s">
        <v>37</v>
      </c>
      <c r="C37" s="9">
        <v>56</v>
      </c>
      <c r="D37" s="9">
        <v>19907.05</v>
      </c>
      <c r="E37" s="10">
        <v>125</v>
      </c>
      <c r="F37" s="9">
        <v>134109</v>
      </c>
      <c r="G37" s="7"/>
      <c r="H37" s="8"/>
      <c r="I37" s="8"/>
      <c r="J37" s="8"/>
      <c r="K37" s="8"/>
      <c r="L37" s="8"/>
    </row>
    <row r="38" spans="2:12">
      <c r="B38" s="4" t="s">
        <v>38</v>
      </c>
      <c r="C38" s="9">
        <v>68</v>
      </c>
      <c r="D38" s="9">
        <v>996981.32</v>
      </c>
      <c r="E38" s="10">
        <v>0</v>
      </c>
      <c r="F38" s="9">
        <v>0</v>
      </c>
      <c r="G38" s="7"/>
      <c r="I38" s="8"/>
      <c r="J38" s="8"/>
      <c r="K38" s="8"/>
      <c r="L38" s="8"/>
    </row>
    <row r="39" spans="2:12">
      <c r="B39" s="4" t="s">
        <v>39</v>
      </c>
      <c r="C39" s="9">
        <v>7</v>
      </c>
      <c r="D39" s="9">
        <v>37150</v>
      </c>
      <c r="E39" s="10">
        <v>255</v>
      </c>
      <c r="F39" s="9">
        <v>708465.94</v>
      </c>
      <c r="G39" s="11"/>
      <c r="H39" s="8"/>
      <c r="I39" s="8"/>
      <c r="J39" s="8"/>
      <c r="K39" s="8"/>
      <c r="L39" s="8"/>
    </row>
    <row r="40" spans="2:12">
      <c r="B40" s="4" t="s">
        <v>40</v>
      </c>
      <c r="C40" s="9">
        <v>3838</v>
      </c>
      <c r="D40" s="9">
        <v>18830944.550000001</v>
      </c>
      <c r="E40" s="10">
        <v>2973</v>
      </c>
      <c r="F40" s="9">
        <v>19590847.640000001</v>
      </c>
      <c r="G40" s="11"/>
      <c r="I40" s="8"/>
      <c r="J40" s="8"/>
      <c r="K40" s="8"/>
      <c r="L40" s="8"/>
    </row>
    <row r="41" spans="2:12">
      <c r="B41" s="4" t="s">
        <v>41</v>
      </c>
      <c r="C41" s="9">
        <v>299</v>
      </c>
      <c r="D41" s="9">
        <v>1111540.6599999999</v>
      </c>
      <c r="E41" s="10">
        <v>391</v>
      </c>
      <c r="F41" s="9">
        <v>1639873</v>
      </c>
      <c r="G41" s="11"/>
      <c r="H41" s="8"/>
      <c r="I41" s="8"/>
      <c r="J41" s="8"/>
      <c r="K41" s="8"/>
      <c r="L41" s="8"/>
    </row>
    <row r="42" spans="2:12">
      <c r="B42" s="4" t="s">
        <v>42</v>
      </c>
      <c r="C42" s="9">
        <v>4</v>
      </c>
      <c r="D42" s="9">
        <v>3376</v>
      </c>
      <c r="E42" s="10">
        <v>192</v>
      </c>
      <c r="F42" s="9">
        <v>5203934</v>
      </c>
      <c r="G42" s="11"/>
      <c r="H42" s="8"/>
      <c r="I42" s="8"/>
      <c r="J42" s="8"/>
      <c r="K42" s="8"/>
      <c r="L42" s="8"/>
    </row>
    <row r="43" spans="2:12">
      <c r="B43" s="4" t="s">
        <v>43</v>
      </c>
      <c r="C43" s="9"/>
      <c r="D43" s="9"/>
      <c r="E43" s="10"/>
      <c r="F43" s="9"/>
      <c r="G43" s="7"/>
    </row>
    <row r="44" spans="2:12">
      <c r="B44" s="4" t="s">
        <v>44</v>
      </c>
      <c r="C44" s="9">
        <v>102</v>
      </c>
      <c r="D44" s="9">
        <v>292738.53000000003</v>
      </c>
      <c r="E44" s="10">
        <v>499</v>
      </c>
      <c r="F44" s="9">
        <v>1492390</v>
      </c>
      <c r="G44" s="7"/>
      <c r="I44" s="8"/>
      <c r="J44" s="8"/>
      <c r="K44" s="8"/>
      <c r="L44" s="8"/>
    </row>
    <row r="45" spans="2:12">
      <c r="B45" s="4" t="s">
        <v>45</v>
      </c>
      <c r="C45" s="9">
        <v>383</v>
      </c>
      <c r="D45" s="9">
        <v>947222</v>
      </c>
      <c r="E45" s="10">
        <v>2355</v>
      </c>
      <c r="F45" s="9">
        <v>2870777</v>
      </c>
      <c r="G45" s="7"/>
      <c r="H45" s="8"/>
      <c r="I45" s="8"/>
      <c r="J45" s="8"/>
      <c r="K45" s="8"/>
      <c r="L45" s="8"/>
    </row>
    <row r="46" spans="2:12">
      <c r="B46" s="4" t="s">
        <v>46</v>
      </c>
      <c r="C46" s="9">
        <v>8554</v>
      </c>
      <c r="D46" s="9">
        <v>50368750.189999998</v>
      </c>
      <c r="E46" s="10">
        <v>49927</v>
      </c>
      <c r="F46" s="9">
        <v>249058094</v>
      </c>
      <c r="G46" s="7"/>
      <c r="I46" s="8"/>
      <c r="J46" s="8"/>
      <c r="K46" s="8"/>
      <c r="L46" s="8"/>
    </row>
    <row r="47" spans="2:12">
      <c r="B47" s="4" t="s">
        <v>47</v>
      </c>
      <c r="C47" s="9">
        <v>287</v>
      </c>
      <c r="D47" s="9">
        <v>2475741</v>
      </c>
      <c r="E47" s="10">
        <v>452</v>
      </c>
      <c r="F47" s="9">
        <v>2446584</v>
      </c>
      <c r="H47" s="8"/>
      <c r="I47" s="8"/>
      <c r="J47" s="8"/>
      <c r="K47" s="8"/>
      <c r="L47" s="8"/>
    </row>
    <row r="48" spans="2:12">
      <c r="B48" s="4" t="s">
        <v>48</v>
      </c>
      <c r="C48" s="9">
        <v>3519</v>
      </c>
      <c r="D48" s="9">
        <v>23120238.25</v>
      </c>
      <c r="E48" s="10">
        <v>6697</v>
      </c>
      <c r="F48" s="9">
        <v>33481709.859999999</v>
      </c>
      <c r="G48" s="7"/>
      <c r="H48" s="8"/>
      <c r="I48" s="8"/>
      <c r="J48" s="8"/>
      <c r="K48" s="8"/>
      <c r="L48" s="8"/>
    </row>
    <row r="49" spans="2:12">
      <c r="B49" s="4" t="s">
        <v>49</v>
      </c>
      <c r="C49" s="9">
        <v>301</v>
      </c>
      <c r="D49" s="9">
        <v>1386089</v>
      </c>
      <c r="E49" s="10">
        <v>666</v>
      </c>
      <c r="F49" s="9">
        <v>2086018</v>
      </c>
      <c r="G49" s="11"/>
      <c r="H49" s="8"/>
      <c r="I49" s="8"/>
      <c r="J49" s="8"/>
      <c r="K49" s="8"/>
      <c r="L49" s="8"/>
    </row>
    <row r="50" spans="2:12">
      <c r="B50" s="4" t="s">
        <v>50</v>
      </c>
      <c r="C50" s="9">
        <v>503</v>
      </c>
      <c r="D50" s="9">
        <v>4537825.96</v>
      </c>
      <c r="E50" s="10">
        <v>1824</v>
      </c>
      <c r="F50" s="9">
        <v>11789220.5</v>
      </c>
      <c r="G50" s="7"/>
      <c r="H50" s="8"/>
      <c r="I50" s="8"/>
      <c r="J50" s="8"/>
      <c r="K50" s="8"/>
      <c r="L50" s="8"/>
    </row>
    <row r="51" spans="2:12">
      <c r="B51" s="4" t="s">
        <v>58</v>
      </c>
      <c r="C51" s="9">
        <v>2</v>
      </c>
      <c r="D51" s="9">
        <v>505</v>
      </c>
      <c r="E51" s="10">
        <v>0</v>
      </c>
      <c r="F51" s="9">
        <v>0</v>
      </c>
      <c r="G51" s="7"/>
      <c r="H51" s="8"/>
      <c r="I51" s="8"/>
      <c r="J51" s="8"/>
      <c r="K51" s="8"/>
      <c r="L51" s="8"/>
    </row>
    <row r="52" spans="2:12">
      <c r="B52" s="4" t="s">
        <v>51</v>
      </c>
      <c r="C52" s="9">
        <v>11251</v>
      </c>
      <c r="D52" s="9">
        <v>43691113.850000001</v>
      </c>
      <c r="E52" s="10">
        <v>24871</v>
      </c>
      <c r="F52" s="9">
        <v>73274644.060000002</v>
      </c>
      <c r="G52" s="12"/>
      <c r="H52" s="8"/>
      <c r="I52" s="8"/>
      <c r="J52" s="8"/>
      <c r="K52" s="8"/>
      <c r="L52" s="8"/>
    </row>
    <row r="53" spans="2:12">
      <c r="B53" s="4" t="s">
        <v>52</v>
      </c>
      <c r="C53" s="9">
        <v>159</v>
      </c>
      <c r="D53" s="9">
        <v>499560.6</v>
      </c>
      <c r="E53" s="10">
        <v>305</v>
      </c>
      <c r="F53" s="9">
        <v>806567</v>
      </c>
      <c r="G53" s="7"/>
      <c r="I53" s="8"/>
      <c r="J53" s="8"/>
      <c r="K53" s="8"/>
      <c r="L53" s="8"/>
    </row>
    <row r="54" spans="2:12">
      <c r="B54" s="4" t="s">
        <v>53</v>
      </c>
      <c r="C54" s="9">
        <v>2</v>
      </c>
      <c r="D54" s="9">
        <v>2300</v>
      </c>
      <c r="E54" s="10">
        <v>3</v>
      </c>
      <c r="F54" s="9">
        <v>726.75</v>
      </c>
      <c r="G54" s="12"/>
      <c r="H54" s="8"/>
      <c r="I54" s="8"/>
      <c r="J54" s="8"/>
      <c r="K54" s="8"/>
      <c r="L54" s="8"/>
    </row>
    <row r="55" spans="2:12">
      <c r="B55" s="4" t="s">
        <v>54</v>
      </c>
      <c r="C55" s="9">
        <v>817</v>
      </c>
      <c r="D55" s="9">
        <v>5331601.22</v>
      </c>
      <c r="E55" s="10">
        <v>1564</v>
      </c>
      <c r="F55" s="9">
        <v>7802023</v>
      </c>
      <c r="G55" s="12"/>
      <c r="I55" s="8"/>
      <c r="J55" s="8"/>
      <c r="K55" s="8"/>
      <c r="L55" s="8"/>
    </row>
    <row r="56" spans="2:12">
      <c r="B56" s="4" t="s">
        <v>55</v>
      </c>
      <c r="C56" s="9">
        <v>1195</v>
      </c>
      <c r="D56" s="9">
        <v>14600712.060000001</v>
      </c>
      <c r="E56" s="10">
        <v>2221</v>
      </c>
      <c r="F56" s="9">
        <v>22387254.550000001</v>
      </c>
      <c r="I56" s="8"/>
      <c r="J56" s="8"/>
      <c r="K56" s="8"/>
      <c r="L56" s="8"/>
    </row>
    <row r="57" spans="2:12">
      <c r="B57" s="13" t="s">
        <v>56</v>
      </c>
      <c r="C57" s="14">
        <f>SUM(C7:C56)</f>
        <v>939369</v>
      </c>
      <c r="D57" s="14">
        <f>SUM(D7:D56)</f>
        <v>4089174790.6300006</v>
      </c>
      <c r="E57" s="14">
        <f>SUM(E7:E56)</f>
        <v>939369</v>
      </c>
      <c r="F57" s="14">
        <f>SUM(F7:F56)</f>
        <v>4089174790.6300006</v>
      </c>
    </row>
    <row r="59" spans="2:12">
      <c r="I59" s="8"/>
      <c r="J59" s="8"/>
      <c r="K59" s="8"/>
      <c r="L59" s="8"/>
    </row>
    <row r="60" spans="2:12">
      <c r="H60" s="8"/>
      <c r="I60" s="8"/>
      <c r="J60" s="8"/>
      <c r="K60" s="8"/>
      <c r="L60" s="8"/>
    </row>
  </sheetData>
  <sortState ref="H7:L54">
    <sortCondition ref="H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2026-05-25T07:43:26Z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C1A0E4ED6B124119BA16049E430BFC24_13</vt:lpwstr>
  </property>
  <property fmtid="{D5CDD505-2E9C-101B-9397-08002B2CF9AE}" pid="3" name="KSOProductBuildVer">
    <vt:lpwstr>2057-12.2.0.23202</vt:lpwstr>
  </property>
</Properties>
</file>