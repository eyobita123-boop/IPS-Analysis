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KP\Document BKP\Daily Reports\March 2026\May 31,2026\"/>
    </mc:Choice>
  </mc:AlternateContent>
  <bookViews>
    <workbookView xWindow="0" yWindow="0" windowWidth="23040" windowHeight="8208"/>
  </bookViews>
  <sheets>
    <sheet name="Sheet1" sheetId="1" r:id="rId1"/>
  </sheets>
  <definedNames>
    <definedName name="_xlnm._FilterDatabase" localSheetId="0" hidden="1">Sheet1!$B$7:$F$48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" l="1"/>
  <c r="D55" i="1"/>
  <c r="F55" i="1" l="1"/>
  <c r="E55" i="1"/>
</calcChain>
</file>

<file path=xl/sharedStrings.xml><?xml version="1.0" encoding="utf-8"?>
<sst xmlns="http://schemas.openxmlformats.org/spreadsheetml/2006/main" count="59" uniqueCount="57">
  <si>
    <t>EthSwitch S.C.</t>
  </si>
  <si>
    <t>IPS Successful Report</t>
  </si>
  <si>
    <t>BANK</t>
  </si>
  <si>
    <t>Successful  Transactions As Destination</t>
  </si>
  <si>
    <t>Successful Transactions As Source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</si>
  <si>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</si>
  <si>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</si>
  <si>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</si>
  <si>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</si>
  <si>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</si>
  <si>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</si>
  <si>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</si>
  <si>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</si>
  <si>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 xml:space="preserve">Awash </t>
  </si>
  <si>
    <t>Berhan Bank</t>
  </si>
  <si>
    <t>Buna Bank</t>
  </si>
  <si>
    <t>CBE</t>
  </si>
  <si>
    <t>CBE BIRR</t>
  </si>
  <si>
    <t>CBO</t>
  </si>
  <si>
    <t>Coopay-E-Birr</t>
  </si>
  <si>
    <t xml:space="preserve">Dashen </t>
  </si>
  <si>
    <t>Dedebit MFI</t>
  </si>
  <si>
    <t>Enat Bank</t>
  </si>
  <si>
    <t>Gadaa</t>
  </si>
  <si>
    <t>Global</t>
  </si>
  <si>
    <t>GOH BETOCH</t>
  </si>
  <si>
    <t>HalalPay</t>
  </si>
  <si>
    <t>H-Cash</t>
  </si>
  <si>
    <t>Hibret</t>
  </si>
  <si>
    <t>Hijra Bank</t>
  </si>
  <si>
    <t>KAAFI MFI</t>
  </si>
  <si>
    <t>Kacha</t>
  </si>
  <si>
    <t>LIB</t>
  </si>
  <si>
    <t>MPESA</t>
  </si>
  <si>
    <t>NIB</t>
  </si>
  <si>
    <t>NibE Birr</t>
  </si>
  <si>
    <t>Nisir</t>
  </si>
  <si>
    <t>Omo Bank</t>
  </si>
  <si>
    <t>Oromia bank</t>
  </si>
  <si>
    <t>Rammis Bank</t>
  </si>
  <si>
    <t xml:space="preserve">Rays </t>
  </si>
  <si>
    <t>Shabelle</t>
  </si>
  <si>
    <t>Sidama Bank</t>
  </si>
  <si>
    <t>Siinqee</t>
  </si>
  <si>
    <t>Siket</t>
  </si>
  <si>
    <t>Tsedey Bank</t>
  </si>
  <si>
    <t>Tsehay</t>
  </si>
  <si>
    <t>Vision Fund</t>
  </si>
  <si>
    <t>Wegagen</t>
  </si>
  <si>
    <t>Wegagen e-Birr</t>
  </si>
  <si>
    <t>Yaya Wallet</t>
  </si>
  <si>
    <t>ZamZam</t>
  </si>
  <si>
    <t xml:space="preserve">Zemen </t>
  </si>
  <si>
    <t>TOTAL</t>
  </si>
  <si>
    <t>Amhara EthBirr</t>
  </si>
  <si>
    <t>Vita Birr</t>
  </si>
  <si>
    <t>Successful IPS Interoperable Transactions Held From May 31,2026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</si>
</sst>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[$-409]d\-mmm\-yy;@"/>
  </numFmts>
  <fonts count="10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2"/>
      <name val="Arial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Times New Roman"/>
      <family val="1"/>
    </font>
    <font>
      <b/>
      <u/>
      <sz val="11"/>
      <color theme="1"/>
      <name val="Times New Roman"/>
      <family val="1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6" tint="0.79989013336588644"/>
      </top>
      <bottom style="thin">
        <color theme="6" tint="0.7998901333658864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>
      <alignment vertical="center"/>
    </xf>
    <xf numFmtId="0" fontId="8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left"/>
    </xf>
    <xf numFmtId="0" fontId="1" fillId="0" borderId="0" xfId="0" applyFont="1" applyBorder="1"/>
    <xf numFmtId="0" fontId="1" fillId="0" borderId="2" xfId="0" applyNumberFormat="1" applyFont="1" applyBorder="1" applyAlignment="1">
      <alignment horizontal="left"/>
    </xf>
    <xf numFmtId="0" fontId="6" fillId="3" borderId="3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/>
    </xf>
    <xf numFmtId="0" fontId="5" fillId="0" borderId="1" xfId="1" applyNumberFormat="1" applyFont="1" applyBorder="1" applyAlignment="1">
      <alignment horizontal="center"/>
    </xf>
    <xf numFmtId="0" fontId="1" fillId="0" borderId="0" xfId="0" applyNumberFormat="1" applyFont="1" applyBorder="1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5"/>
  <sheetViews>
    <sheetView tabSelected="1" topLeftCell="A34" zoomScale="110" zoomScaleNormal="110" workbookViewId="0">
      <selection activeCell="A49" sqref="A49:XFD49"/>
    </sheetView>
  </sheetViews>
  <sheetFormatPr defaultColWidth="9" defaultRowHeight="13.8"/>
  <cols>
    <col min="1" max="1" width="9" style="1"/>
    <col min="2" max="2" width="19.44140625" style="1" customWidth="1"/>
    <col min="3" max="3" width="21.109375" style="2" customWidth="1"/>
    <col min="4" max="4" width="20" style="3" customWidth="1"/>
    <col min="5" max="5" width="19" style="2" customWidth="1"/>
    <col min="6" max="6" width="16.88671875" style="3" customWidth="1"/>
    <col min="7" max="7" width="15.6640625" style="1" customWidth="1"/>
    <col min="8" max="8" width="24.6640625" style="1" bestFit="1" customWidth="1"/>
    <col min="9" max="9" width="29" style="1" bestFit="1" customWidth="1"/>
    <col min="10" max="16384" width="9" style="1"/>
  </cols>
  <sheetData>
    <row r="1" spans="2:7" ht="15.6">
      <c r="B1" s="17" t="s">
        <v>0</v>
      </c>
      <c r="C1" s="17"/>
      <c r="D1" s="17"/>
      <c r="E1" s="17"/>
      <c r="F1" s="17"/>
    </row>
    <row r="2" spans="2:7" ht="15.6">
      <c r="B2" s="17" t="s">
        <v>1</v>
      </c>
      <c r="C2" s="17"/>
      <c r="D2" s="17"/>
      <c r="E2" s="17"/>
      <c r="F2" s="17"/>
    </row>
    <row r="3" spans="2:7" ht="15.6">
      <c r="B3" s="18">
        <v>46173</v>
      </c>
      <c r="C3" s="18"/>
      <c r="D3" s="18"/>
      <c r="E3" s="18"/>
      <c r="F3" s="18"/>
    </row>
    <row r="4" spans="2:7" ht="20.25" customHeight="1">
      <c r="B4" s="19" t="s">
        <v>56</v>
      </c>
      <c r="C4" s="19"/>
      <c r="D4" s="19"/>
      <c r="E4" s="19"/>
      <c r="F4" s="19"/>
    </row>
    <row r="5" spans="2:7" ht="13.95" customHeight="1">
      <c r="B5" s="20" t="s">
        <v>2</v>
      </c>
      <c r="C5" s="20" t="s">
        <v>3</v>
      </c>
      <c r="D5" s="20"/>
      <c r="E5" s="20" t="s">
        <v>4</v>
      </c>
      <c r="F5" s="20"/>
    </row>
    <row r="6" spans="2:7">
      <c r="B6" s="20"/>
      <c r="C6" s="5" t="s">
        <v>5</v>
      </c>
      <c r="D6" s="6" t="s">
        <v>6</v>
      </c>
      <c r="E6" s="5" t="s">
        <v>5</v>
      </c>
      <c r="F6" s="6" t="s">
        <v>6</v>
      </c>
      <c r="G6" s="7"/>
    </row>
    <row r="7" spans="2:7">
      <c r="B7" s="4" t="s">
        <v>7</v>
      </c>
      <c r="C7" s="13">
        <v>5745</v>
      </c>
      <c r="D7" s="13">
        <v>20964208.760000002</v>
      </c>
      <c r="E7" s="14">
        <v>19593</v>
      </c>
      <c r="F7" s="13">
        <v>46858374.609999999</v>
      </c>
      <c r="G7" s="7"/>
    </row>
    <row r="8" spans="2:7">
      <c r="B8" s="4" t="s">
        <v>8</v>
      </c>
      <c r="C8" s="13">
        <v>375</v>
      </c>
      <c r="D8" s="13">
        <v>1711385.34</v>
      </c>
      <c r="E8" s="14">
        <v>1795</v>
      </c>
      <c r="F8" s="13">
        <v>7439742.2000000002</v>
      </c>
      <c r="G8" s="7"/>
    </row>
    <row r="9" spans="2:7">
      <c r="B9" s="4" t="s">
        <v>9</v>
      </c>
      <c r="C9" s="13">
        <v>244</v>
      </c>
      <c r="D9" s="13">
        <v>1136863</v>
      </c>
      <c r="E9" s="14">
        <v>560</v>
      </c>
      <c r="F9" s="13">
        <v>1228928.99</v>
      </c>
      <c r="G9" s="8"/>
    </row>
    <row r="10" spans="2:7">
      <c r="B10" s="4" t="s">
        <v>10</v>
      </c>
      <c r="C10" s="13">
        <v>42</v>
      </c>
      <c r="D10" s="13">
        <v>47140.1</v>
      </c>
      <c r="E10" s="14">
        <v>43</v>
      </c>
      <c r="F10" s="13">
        <v>25321.87</v>
      </c>
      <c r="G10" s="7"/>
    </row>
    <row r="11" spans="2:7">
      <c r="B11" s="4" t="s">
        <v>11</v>
      </c>
      <c r="C11" s="13">
        <v>3243</v>
      </c>
      <c r="D11" s="13">
        <v>14077528.029999999</v>
      </c>
      <c r="E11" s="14">
        <v>8220</v>
      </c>
      <c r="F11" s="13">
        <v>22960688.399999999</v>
      </c>
      <c r="G11" s="7"/>
    </row>
    <row r="12" spans="2:7">
      <c r="B12" s="4" t="s">
        <v>12</v>
      </c>
      <c r="C12" s="13">
        <v>0</v>
      </c>
      <c r="D12" s="13">
        <v>0</v>
      </c>
      <c r="E12" s="14">
        <v>1</v>
      </c>
      <c r="F12" s="13">
        <v>1</v>
      </c>
      <c r="G12" s="7"/>
    </row>
    <row r="13" spans="2:7">
      <c r="B13" s="12" t="s">
        <v>54</v>
      </c>
      <c r="C13" s="13">
        <v>49526</v>
      </c>
      <c r="D13" s="13">
        <v>195906400.16999999</v>
      </c>
      <c r="E13" s="14">
        <v>144352</v>
      </c>
      <c r="F13" s="13">
        <v>410516743.99000001</v>
      </c>
      <c r="G13" s="15"/>
    </row>
    <row r="14" spans="2:7">
      <c r="B14" s="4" t="s">
        <v>13</v>
      </c>
      <c r="C14" s="13">
        <v>3855</v>
      </c>
      <c r="D14" s="13">
        <v>16454559.470000001</v>
      </c>
      <c r="E14" s="14">
        <v>10563</v>
      </c>
      <c r="F14" s="13">
        <v>28413553.309999999</v>
      </c>
      <c r="G14" s="7"/>
    </row>
    <row r="15" spans="2:7">
      <c r="B15" s="4" t="s">
        <v>14</v>
      </c>
      <c r="C15" s="13">
        <v>80332</v>
      </c>
      <c r="D15" s="13">
        <v>318165753.37</v>
      </c>
      <c r="E15" s="14">
        <v>126613</v>
      </c>
      <c r="F15" s="13">
        <v>363749088.5</v>
      </c>
      <c r="G15" s="8"/>
    </row>
    <row r="16" spans="2:7">
      <c r="B16" s="4" t="s">
        <v>15</v>
      </c>
      <c r="C16" s="13">
        <v>3282</v>
      </c>
      <c r="D16" s="13">
        <v>14082622.720000001</v>
      </c>
      <c r="E16" s="14">
        <v>8104</v>
      </c>
      <c r="F16" s="13">
        <v>25788321</v>
      </c>
      <c r="G16" s="7"/>
    </row>
    <row r="17" spans="2:7">
      <c r="B17" s="4" t="s">
        <v>16</v>
      </c>
      <c r="C17" s="13">
        <v>421817</v>
      </c>
      <c r="D17" s="13">
        <v>1268246053.8900001</v>
      </c>
      <c r="E17" s="14">
        <v>161996</v>
      </c>
      <c r="F17" s="13">
        <v>597596341.25</v>
      </c>
    </row>
    <row r="18" spans="2:7">
      <c r="B18" s="4" t="s">
        <v>17</v>
      </c>
      <c r="C18" s="13">
        <v>10239</v>
      </c>
      <c r="D18" s="13">
        <v>4294791.62</v>
      </c>
      <c r="E18" s="14">
        <v>17156</v>
      </c>
      <c r="F18" s="13">
        <v>14008075.6</v>
      </c>
      <c r="G18" s="7"/>
    </row>
    <row r="19" spans="2:7">
      <c r="B19" s="4" t="s">
        <v>18</v>
      </c>
      <c r="C19" s="13">
        <v>45116</v>
      </c>
      <c r="D19" s="13">
        <v>107088386.29000001</v>
      </c>
      <c r="E19" s="14">
        <v>60559</v>
      </c>
      <c r="F19" s="13">
        <v>141706920.47</v>
      </c>
      <c r="G19" s="7"/>
    </row>
    <row r="20" spans="2:7">
      <c r="B20" s="4" t="s">
        <v>19</v>
      </c>
      <c r="C20" s="13">
        <v>0</v>
      </c>
      <c r="D20" s="13">
        <v>0</v>
      </c>
      <c r="E20" s="14">
        <v>207</v>
      </c>
      <c r="F20" s="13">
        <v>499095</v>
      </c>
      <c r="G20" s="7"/>
    </row>
    <row r="21" spans="2:7">
      <c r="B21" s="4" t="s">
        <v>20</v>
      </c>
      <c r="C21" s="13">
        <v>11329</v>
      </c>
      <c r="D21" s="13">
        <v>59420227.270000003</v>
      </c>
      <c r="E21" s="14">
        <v>24740</v>
      </c>
      <c r="F21" s="13">
        <v>130784380.15000001</v>
      </c>
      <c r="G21" s="7"/>
    </row>
    <row r="22" spans="2:7">
      <c r="B22" s="4" t="s">
        <v>21</v>
      </c>
      <c r="C22" s="13">
        <v>36</v>
      </c>
      <c r="D22" s="13">
        <v>164120</v>
      </c>
      <c r="E22" s="14">
        <v>458</v>
      </c>
      <c r="F22" s="13">
        <v>1633961</v>
      </c>
      <c r="G22" s="15"/>
    </row>
    <row r="23" spans="2:7">
      <c r="B23" s="4" t="s">
        <v>22</v>
      </c>
      <c r="C23" s="13">
        <v>782</v>
      </c>
      <c r="D23" s="13">
        <v>4673077</v>
      </c>
      <c r="E23" s="14">
        <v>2466</v>
      </c>
      <c r="F23" s="13">
        <v>8004259</v>
      </c>
      <c r="G23" s="8"/>
    </row>
    <row r="24" spans="2:7">
      <c r="B24" s="4" t="s">
        <v>23</v>
      </c>
      <c r="C24" s="13">
        <v>215</v>
      </c>
      <c r="D24" s="13">
        <v>807972</v>
      </c>
      <c r="E24" s="14">
        <v>1066</v>
      </c>
      <c r="F24" s="13">
        <v>2920540</v>
      </c>
      <c r="G24" s="7"/>
    </row>
    <row r="25" spans="2:7">
      <c r="B25" s="4" t="s">
        <v>24</v>
      </c>
      <c r="C25" s="13">
        <v>176</v>
      </c>
      <c r="D25" s="13">
        <v>1659850.52</v>
      </c>
      <c r="E25" s="14">
        <v>648</v>
      </c>
      <c r="F25" s="13">
        <v>1451109</v>
      </c>
      <c r="G25" s="7"/>
    </row>
    <row r="26" spans="2:7">
      <c r="B26" s="4" t="s">
        <v>25</v>
      </c>
      <c r="C26" s="13">
        <v>17</v>
      </c>
      <c r="D26" s="13">
        <v>143288</v>
      </c>
      <c r="E26" s="14">
        <v>71</v>
      </c>
      <c r="F26" s="13">
        <v>69870</v>
      </c>
      <c r="G26" s="7"/>
    </row>
    <row r="27" spans="2:7">
      <c r="B27" s="4" t="s">
        <v>26</v>
      </c>
      <c r="C27" s="13">
        <v>59</v>
      </c>
      <c r="D27" s="13">
        <v>191732</v>
      </c>
      <c r="E27" s="14">
        <v>99</v>
      </c>
      <c r="F27" s="13">
        <v>169930</v>
      </c>
      <c r="G27" s="7"/>
    </row>
    <row r="28" spans="2:7">
      <c r="B28" s="4" t="s">
        <v>27</v>
      </c>
      <c r="C28" s="13">
        <v>85</v>
      </c>
      <c r="D28" s="13">
        <v>253006</v>
      </c>
      <c r="E28" s="14">
        <v>1019</v>
      </c>
      <c r="F28" s="13">
        <v>4431016</v>
      </c>
      <c r="G28" s="15"/>
    </row>
    <row r="29" spans="2:7">
      <c r="B29" s="4" t="s">
        <v>28</v>
      </c>
      <c r="C29" s="13">
        <v>1983</v>
      </c>
      <c r="D29" s="13">
        <v>12921016.5</v>
      </c>
      <c r="E29" s="14">
        <v>4850</v>
      </c>
      <c r="F29" s="13">
        <v>19897996.390000001</v>
      </c>
      <c r="G29" s="7"/>
    </row>
    <row r="30" spans="2:7">
      <c r="B30" s="4" t="s">
        <v>29</v>
      </c>
      <c r="C30" s="13">
        <v>650</v>
      </c>
      <c r="D30" s="13">
        <v>2939994.98</v>
      </c>
      <c r="E30" s="14">
        <v>3339</v>
      </c>
      <c r="F30" s="13">
        <v>40255887.740000002</v>
      </c>
      <c r="G30" s="7"/>
    </row>
    <row r="31" spans="2:7">
      <c r="B31" s="4" t="s">
        <v>30</v>
      </c>
      <c r="C31" s="13">
        <v>22923</v>
      </c>
      <c r="D31" s="13">
        <v>35902196.460000001</v>
      </c>
      <c r="E31" s="14">
        <v>46642</v>
      </c>
      <c r="F31" s="13">
        <v>24394535.719999999</v>
      </c>
      <c r="G31" s="7"/>
    </row>
    <row r="32" spans="2:7">
      <c r="B32" s="4" t="s">
        <v>31</v>
      </c>
      <c r="C32" s="13">
        <v>71</v>
      </c>
      <c r="D32" s="13">
        <v>431819</v>
      </c>
      <c r="E32" s="14">
        <v>185</v>
      </c>
      <c r="F32" s="13">
        <v>649891</v>
      </c>
      <c r="G32" s="15"/>
    </row>
    <row r="33" spans="2:7">
      <c r="B33" s="4" t="s">
        <v>32</v>
      </c>
      <c r="C33" s="13">
        <v>3414</v>
      </c>
      <c r="D33" s="13">
        <v>11322211.5</v>
      </c>
      <c r="E33" s="14">
        <v>9530</v>
      </c>
      <c r="F33" s="13">
        <v>23182683</v>
      </c>
      <c r="G33" s="8"/>
    </row>
    <row r="34" spans="2:7">
      <c r="B34" s="4" t="s">
        <v>33</v>
      </c>
      <c r="C34" s="13">
        <v>53103</v>
      </c>
      <c r="D34" s="13">
        <v>3884215.7</v>
      </c>
      <c r="E34" s="14">
        <v>207</v>
      </c>
      <c r="F34" s="13">
        <v>224012</v>
      </c>
    </row>
    <row r="35" spans="2:7">
      <c r="B35" s="4" t="s">
        <v>34</v>
      </c>
      <c r="C35" s="13">
        <v>1275</v>
      </c>
      <c r="D35" s="13">
        <v>6639443</v>
      </c>
      <c r="E35" s="14">
        <v>4188</v>
      </c>
      <c r="F35" s="13">
        <v>17486798.109999999</v>
      </c>
      <c r="G35" s="7"/>
    </row>
    <row r="36" spans="2:7">
      <c r="B36" s="4" t="s">
        <v>35</v>
      </c>
      <c r="C36" s="13">
        <v>51</v>
      </c>
      <c r="D36" s="13">
        <v>18166</v>
      </c>
      <c r="E36" s="14">
        <v>98</v>
      </c>
      <c r="F36" s="13">
        <v>45128</v>
      </c>
      <c r="G36" s="7"/>
    </row>
    <row r="37" spans="2:7">
      <c r="B37" s="4" t="s">
        <v>36</v>
      </c>
      <c r="C37" s="13">
        <v>9</v>
      </c>
      <c r="D37" s="13">
        <v>89600</v>
      </c>
      <c r="E37" s="14">
        <v>0</v>
      </c>
      <c r="F37" s="13">
        <v>0</v>
      </c>
      <c r="G37" s="8"/>
    </row>
    <row r="38" spans="2:7">
      <c r="B38" s="4" t="s">
        <v>37</v>
      </c>
      <c r="C38" s="13">
        <v>7</v>
      </c>
      <c r="D38" s="13">
        <v>7120</v>
      </c>
      <c r="E38" s="14">
        <v>226</v>
      </c>
      <c r="F38" s="13">
        <v>556653</v>
      </c>
      <c r="G38" s="7"/>
    </row>
    <row r="39" spans="2:7">
      <c r="B39" s="4" t="s">
        <v>38</v>
      </c>
      <c r="C39" s="13">
        <v>2219</v>
      </c>
      <c r="D39" s="13">
        <v>8466273</v>
      </c>
      <c r="E39" s="14">
        <v>2568</v>
      </c>
      <c r="F39" s="13">
        <v>11841413</v>
      </c>
      <c r="G39" s="7"/>
    </row>
    <row r="40" spans="2:7">
      <c r="B40" s="4" t="s">
        <v>39</v>
      </c>
      <c r="C40" s="13">
        <v>234</v>
      </c>
      <c r="D40" s="13">
        <v>654360</v>
      </c>
      <c r="E40" s="14">
        <v>294</v>
      </c>
      <c r="F40" s="13">
        <v>924403</v>
      </c>
      <c r="G40" s="7"/>
    </row>
    <row r="41" spans="2:7">
      <c r="B41" s="4" t="s">
        <v>40</v>
      </c>
      <c r="C41" s="13">
        <v>3</v>
      </c>
      <c r="D41" s="13">
        <v>210</v>
      </c>
      <c r="E41" s="14">
        <v>134</v>
      </c>
      <c r="F41" s="13">
        <v>3763030</v>
      </c>
      <c r="G41" s="7"/>
    </row>
    <row r="42" spans="2:7">
      <c r="B42" s="4" t="s">
        <v>41</v>
      </c>
      <c r="C42" s="13">
        <v>107</v>
      </c>
      <c r="D42" s="13">
        <v>287376</v>
      </c>
      <c r="E42" s="14">
        <v>352</v>
      </c>
      <c r="F42" s="13">
        <v>1229593</v>
      </c>
      <c r="G42" s="7"/>
    </row>
    <row r="43" spans="2:7">
      <c r="B43" s="4" t="s">
        <v>42</v>
      </c>
      <c r="C43" s="13">
        <v>215</v>
      </c>
      <c r="D43" s="13">
        <v>416570.5</v>
      </c>
      <c r="E43" s="14">
        <v>1815</v>
      </c>
      <c r="F43" s="13">
        <v>1805192</v>
      </c>
      <c r="G43" s="7"/>
    </row>
    <row r="44" spans="2:7">
      <c r="B44" s="4" t="s">
        <v>43</v>
      </c>
      <c r="C44" s="13">
        <v>4130</v>
      </c>
      <c r="D44" s="13">
        <v>14382273.02</v>
      </c>
      <c r="E44" s="14">
        <v>37926</v>
      </c>
      <c r="F44" s="13">
        <v>128453953.2</v>
      </c>
      <c r="G44" s="7"/>
    </row>
    <row r="45" spans="2:7">
      <c r="B45" s="4" t="s">
        <v>44</v>
      </c>
      <c r="C45" s="13">
        <v>124</v>
      </c>
      <c r="D45" s="13">
        <v>910757</v>
      </c>
      <c r="E45" s="14">
        <v>632</v>
      </c>
      <c r="F45" s="13">
        <v>1575415</v>
      </c>
      <c r="G45" s="15"/>
    </row>
    <row r="46" spans="2:7">
      <c r="B46" s="4" t="s">
        <v>45</v>
      </c>
      <c r="C46" s="13">
        <v>1443</v>
      </c>
      <c r="D46" s="13">
        <v>6407708.7199999997</v>
      </c>
      <c r="E46" s="14">
        <v>5153</v>
      </c>
      <c r="F46" s="13">
        <v>16037322.34</v>
      </c>
      <c r="G46" s="7"/>
    </row>
    <row r="47" spans="2:7">
      <c r="B47" s="4" t="s">
        <v>46</v>
      </c>
      <c r="C47" s="13">
        <v>205</v>
      </c>
      <c r="D47" s="13">
        <v>1003116</v>
      </c>
      <c r="E47" s="14">
        <v>689</v>
      </c>
      <c r="F47" s="13">
        <v>1650375</v>
      </c>
      <c r="G47" s="7"/>
    </row>
    <row r="48" spans="2:7">
      <c r="B48" s="4" t="s">
        <v>47</v>
      </c>
      <c r="C48" s="13">
        <v>49</v>
      </c>
      <c r="D48" s="13">
        <v>471760</v>
      </c>
      <c r="E48" s="14">
        <v>770</v>
      </c>
      <c r="F48" s="13">
        <v>4228807</v>
      </c>
      <c r="G48" s="7"/>
    </row>
    <row r="49" spans="2:7">
      <c r="B49" s="16" t="s">
        <v>55</v>
      </c>
      <c r="C49" s="13"/>
      <c r="D49" s="13"/>
      <c r="E49" s="14"/>
      <c r="F49" s="13"/>
      <c r="G49" s="7"/>
    </row>
    <row r="50" spans="2:7">
      <c r="B50" s="4" t="s">
        <v>48</v>
      </c>
      <c r="C50" s="13">
        <v>8465</v>
      </c>
      <c r="D50" s="13">
        <v>26794500.739999998</v>
      </c>
      <c r="E50" s="14">
        <v>25701</v>
      </c>
      <c r="F50" s="13">
        <v>49444748.960000001</v>
      </c>
      <c r="G50" s="9"/>
    </row>
    <row r="51" spans="2:7">
      <c r="B51" s="4" t="s">
        <v>49</v>
      </c>
      <c r="C51" s="13">
        <v>110</v>
      </c>
      <c r="D51" s="13">
        <v>243059</v>
      </c>
      <c r="E51" s="14">
        <v>291</v>
      </c>
      <c r="F51" s="13">
        <v>262940.03999999998</v>
      </c>
      <c r="G51" s="7"/>
    </row>
    <row r="52" spans="2:7">
      <c r="B52" s="4" t="s">
        <v>50</v>
      </c>
      <c r="C52" s="13">
        <v>1</v>
      </c>
      <c r="D52" s="13">
        <v>200</v>
      </c>
      <c r="E52" s="14">
        <v>16</v>
      </c>
      <c r="F52" s="13">
        <v>116465</v>
      </c>
      <c r="G52" s="9"/>
    </row>
    <row r="53" spans="2:7">
      <c r="B53" s="4" t="s">
        <v>51</v>
      </c>
      <c r="C53" s="13">
        <v>361</v>
      </c>
      <c r="D53" s="13">
        <v>1823680</v>
      </c>
      <c r="E53" s="14">
        <v>900</v>
      </c>
      <c r="F53" s="13">
        <v>3395301</v>
      </c>
      <c r="G53" s="9"/>
    </row>
    <row r="54" spans="2:7">
      <c r="B54" s="4" t="s">
        <v>52</v>
      </c>
      <c r="C54" s="13">
        <v>629</v>
      </c>
      <c r="D54" s="13">
        <v>6859166.9500000002</v>
      </c>
      <c r="E54" s="14">
        <v>1461</v>
      </c>
      <c r="F54" s="13">
        <v>10686954.779999999</v>
      </c>
    </row>
    <row r="55" spans="2:7">
      <c r="B55" s="10" t="s">
        <v>53</v>
      </c>
      <c r="C55" s="11">
        <f>SUM(C7:C54)</f>
        <v>738296</v>
      </c>
      <c r="D55" s="11">
        <f>SUM(D7:D54)</f>
        <v>2172365759.6199999</v>
      </c>
      <c r="E55" s="11">
        <f>SUM(E7:E54)</f>
        <v>738296</v>
      </c>
      <c r="F55" s="11">
        <f>SUM(F7:F54)</f>
        <v>2172365759.6199999</v>
      </c>
    </row>
  </sheetData>
  <sortState ref="G7:I53">
    <sortCondition ref="G6"/>
  </sortState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Foziya Redi</dc:creator>
  <cp:lastModifiedBy>Meron Wondmu</cp:lastModifiedBy>
  <dcterms:created xsi:type="dcterms:W3CDTF">2021-05-26T10:19:00Z</dcterms:created>
  <dcterms:modified xsi:type="dcterms:W3CDTF">2026-06-02T08:40:11Z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EB5CBA99DD034E10B089C2934F87D8AC_13</vt:lpwstr>
  </property>
  <property fmtid="{D5CDD505-2E9C-101B-9397-08002B2CF9AE}" pid="3" name="KSOProductBuildVer">
    <vt:lpwstr>1033-12.2.0.20326</vt:lpwstr>
  </property>
  <property fmtid="{D5CDD505-2E9C-101B-9397-08002B2CF9AE}" pid="4" name="CalculationRule">
    <vt:i4>0</vt:i4>
  </property>
</Properties>
</file>