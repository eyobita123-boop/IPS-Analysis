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30,2026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Sheet1!$B$7:$F$48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D55" i="1"/>
  <c r="F55" i="1" l="1"/>
  <c r="E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<sst xmlns="http://schemas.openxmlformats.org/spreadsheetml/2006/main" count="59" uniqueCount="57">
  <si>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</si>
  <si>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</si>
  <si>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</si>
  <si>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</si>
  <si>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</si>
  <si>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</si>
  <si>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</si>
  <si>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</si>
  <si>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</si>
  <si>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</si>
  <si>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</si>
  <si>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</si>
  <si>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</si>
  <si>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</si>
  <si>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</si>
  <si>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</si>
  <si>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</si>
  <si>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</si>
  <si>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</si>
  <si>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</si>
  <si>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</si>
  <si>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</si>
  <si>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</si>
  <si>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</si>
  <si>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</si>
  <si>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</si>
  <si>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</si>
  <si>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</si>
  <si>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</si>
  <si>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</si>
  <si>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</si>
  <si>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</si>
  <si>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</si>
  <si>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</si>
  <si>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</si>
  <si>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</si>
  <si>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</si>
  <si>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</si>
  <si>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</si>
  <si>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</si>
  <si>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</si>
  <si>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</si>
  <si>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</si>
  <si>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</si>
  <si>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</si>
  <si>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</si>
  <si>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</si>
  <si>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</si>
  <si>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</si>
  <si>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</si>
  <si>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</si>
  <si>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</si>
  <si>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</si>
  <si>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</si>
  <si>
    <t>Amhara EthBirr</t>
  </si>
  <si>
    <t>Successful IPS Interoperable Transactions Held From May 30,2026</t>
  </si>
  <si>
    <t>Vita Birr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</si>
</sst>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9013336588644"/>
      </top>
      <bottom style="thin">
        <color theme="6" tint="0.799890133365886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tabSelected="1" topLeftCell="A31" zoomScale="110" zoomScaleNormal="110" workbookViewId="0">
      <selection activeCell="G29" sqref="G29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0" style="3" customWidth="1"/>
    <col min="5" max="5" width="19" style="2" customWidth="1"/>
    <col min="6" max="6" width="16.88671875" style="3" customWidth="1"/>
    <col min="7" max="7" width="15.6640625" style="1" customWidth="1"/>
    <col min="8" max="8" width="24.6640625" style="1" bestFit="1" customWidth="1"/>
    <col min="9" max="9" width="29" style="1" bestFit="1" customWidth="1"/>
    <col min="10" max="16384" width="9" style="1"/>
  </cols>
  <sheetData>
    <row r="1" spans="2:7" ht="15.6">
      <c r="B1" s="17" t="s">
        <v>0</v>
      </c>
      <c r="C1" s="17"/>
      <c r="D1" s="17"/>
      <c r="E1" s="17"/>
      <c r="F1" s="17"/>
    </row>
    <row r="2" spans="2:7" ht="15.6">
      <c r="B2" s="17" t="s">
        <v>1</v>
      </c>
      <c r="C2" s="17"/>
      <c r="D2" s="17"/>
      <c r="E2" s="17"/>
      <c r="F2" s="17"/>
    </row>
    <row r="3" spans="2:7" ht="15.6">
      <c r="B3" s="18">
        <v>46172</v>
      </c>
      <c r="C3" s="18"/>
      <c r="D3" s="18"/>
      <c r="E3" s="18"/>
      <c r="F3" s="18"/>
    </row>
    <row r="4" spans="2:7" ht="20.25" customHeight="1">
      <c r="B4" s="19" t="s">
        <v>55</v>
      </c>
      <c r="C4" s="19"/>
      <c r="D4" s="19"/>
      <c r="E4" s="19"/>
      <c r="F4" s="19"/>
    </row>
    <row r="5" spans="2:7" ht="13.95" customHeight="1">
      <c r="B5" s="20" t="s">
        <v>2</v>
      </c>
      <c r="C5" s="20" t="s">
        <v>3</v>
      </c>
      <c r="D5" s="20"/>
      <c r="E5" s="20" t="s">
        <v>4</v>
      </c>
      <c r="F5" s="20"/>
    </row>
    <row r="6" spans="2:7">
      <c r="B6" s="20"/>
      <c r="C6" s="5" t="s">
        <v>5</v>
      </c>
      <c r="D6" s="6" t="s">
        <v>6</v>
      </c>
      <c r="E6" s="5" t="s">
        <v>5</v>
      </c>
      <c r="F6" s="6" t="s">
        <v>6</v>
      </c>
      <c r="G6" s="7"/>
    </row>
    <row r="7" spans="2:7">
      <c r="B7" s="4" t="s">
        <v>7</v>
      </c>
      <c r="C7" s="13">
        <v>7405</v>
      </c>
      <c r="D7" s="13">
        <v>36099329.850000001</v>
      </c>
      <c r="E7" s="14">
        <v>30210</v>
      </c>
      <c r="F7" s="13">
        <v>88475957.780000001</v>
      </c>
      <c r="G7" s="7"/>
    </row>
    <row r="8" spans="2:7">
      <c r="B8" s="4" t="s">
        <v>8</v>
      </c>
      <c r="C8" s="13">
        <v>579</v>
      </c>
      <c r="D8" s="13">
        <v>4160297.25</v>
      </c>
      <c r="E8" s="14">
        <v>2299</v>
      </c>
      <c r="F8" s="13">
        <v>15198030.439999999</v>
      </c>
      <c r="G8" s="7"/>
    </row>
    <row r="9" spans="2:7">
      <c r="B9" s="4" t="s">
        <v>9</v>
      </c>
      <c r="C9" s="13">
        <v>500</v>
      </c>
      <c r="D9" s="13">
        <v>2695732</v>
      </c>
      <c r="E9" s="14">
        <v>1304</v>
      </c>
      <c r="F9" s="13">
        <v>3489316.4</v>
      </c>
      <c r="G9" s="8"/>
    </row>
    <row r="10" spans="2:7">
      <c r="B10" s="4" t="s">
        <v>10</v>
      </c>
      <c r="C10" s="13">
        <v>35</v>
      </c>
      <c r="D10" s="13">
        <v>33145</v>
      </c>
      <c r="E10" s="14">
        <v>56</v>
      </c>
      <c r="F10" s="13">
        <v>33992.75</v>
      </c>
      <c r="G10" s="7"/>
    </row>
    <row r="11" spans="2:7">
      <c r="B11" s="4" t="s">
        <v>11</v>
      </c>
      <c r="C11" s="13">
        <v>4007</v>
      </c>
      <c r="D11" s="13">
        <v>22728111.120000001</v>
      </c>
      <c r="E11" s="14">
        <v>10314</v>
      </c>
      <c r="F11" s="13">
        <v>44035917.850000001</v>
      </c>
      <c r="G11" s="7"/>
    </row>
    <row r="12" spans="2:7">
      <c r="B12" s="4" t="s">
        <v>12</v>
      </c>
      <c r="C12" s="13">
        <v>0</v>
      </c>
      <c r="D12" s="13">
        <v>0</v>
      </c>
      <c r="E12" s="14">
        <v>2</v>
      </c>
      <c r="F12" s="13">
        <v>2</v>
      </c>
      <c r="G12" s="7"/>
    </row>
    <row r="13" spans="2:7">
      <c r="B13" s="12" t="s">
        <v>54</v>
      </c>
      <c r="C13" s="13">
        <v>58132</v>
      </c>
      <c r="D13" s="13">
        <v>302737654.33999997</v>
      </c>
      <c r="E13" s="14">
        <v>179588</v>
      </c>
      <c r="F13" s="13">
        <v>738244836.20000005</v>
      </c>
      <c r="G13" s="15"/>
    </row>
    <row r="14" spans="2:7">
      <c r="B14" s="4" t="s">
        <v>13</v>
      </c>
      <c r="C14" s="13">
        <v>5019</v>
      </c>
      <c r="D14" s="13">
        <v>29605682.899999999</v>
      </c>
      <c r="E14" s="14">
        <v>14574</v>
      </c>
      <c r="F14" s="13">
        <v>58228612.420000002</v>
      </c>
      <c r="G14" s="7"/>
    </row>
    <row r="15" spans="2:7">
      <c r="B15" s="4" t="s">
        <v>14</v>
      </c>
      <c r="C15" s="13">
        <v>91719</v>
      </c>
      <c r="D15" s="13">
        <v>454603306.45999998</v>
      </c>
      <c r="E15" s="14">
        <v>145463</v>
      </c>
      <c r="F15" s="13">
        <v>571440110.23000002</v>
      </c>
      <c r="G15" s="8"/>
    </row>
    <row r="16" spans="2:7">
      <c r="B16" s="4" t="s">
        <v>15</v>
      </c>
      <c r="C16" s="13">
        <v>4452</v>
      </c>
      <c r="D16" s="13">
        <v>25108674.809999999</v>
      </c>
      <c r="E16" s="14">
        <v>10935</v>
      </c>
      <c r="F16" s="13">
        <v>55449419</v>
      </c>
      <c r="G16" s="7"/>
    </row>
    <row r="17" spans="2:7">
      <c r="B17" s="4" t="s">
        <v>16</v>
      </c>
      <c r="C17" s="13">
        <v>498311</v>
      </c>
      <c r="D17" s="13">
        <v>2062286434.25</v>
      </c>
      <c r="E17" s="14">
        <v>189032</v>
      </c>
      <c r="F17" s="13">
        <v>898182753.64999998</v>
      </c>
    </row>
    <row r="18" spans="2:7">
      <c r="B18" s="4" t="s">
        <v>17</v>
      </c>
      <c r="C18" s="13">
        <v>10320</v>
      </c>
      <c r="D18" s="13">
        <v>4888855.71</v>
      </c>
      <c r="E18" s="14">
        <v>17053</v>
      </c>
      <c r="F18" s="13">
        <v>16653601.68</v>
      </c>
      <c r="G18" s="7"/>
    </row>
    <row r="19" spans="2:7">
      <c r="B19" s="4" t="s">
        <v>18</v>
      </c>
      <c r="C19" s="13">
        <v>46306</v>
      </c>
      <c r="D19" s="13">
        <v>140950716.16999999</v>
      </c>
      <c r="E19" s="14">
        <v>69072</v>
      </c>
      <c r="F19" s="13">
        <v>219662692.71000001</v>
      </c>
      <c r="G19" s="7"/>
    </row>
    <row r="20" spans="2:7">
      <c r="B20" s="4" t="s">
        <v>19</v>
      </c>
      <c r="C20" s="13">
        <v>0</v>
      </c>
      <c r="D20" s="13">
        <v>0</v>
      </c>
      <c r="E20" s="14">
        <v>323</v>
      </c>
      <c r="F20" s="13">
        <v>1281085</v>
      </c>
      <c r="G20" s="7"/>
    </row>
    <row r="21" spans="2:7">
      <c r="B21" s="4" t="s">
        <v>20</v>
      </c>
      <c r="C21" s="13">
        <v>14785</v>
      </c>
      <c r="D21" s="13">
        <v>106383438.33</v>
      </c>
      <c r="E21" s="14">
        <v>18037</v>
      </c>
      <c r="F21" s="13">
        <v>151174791.99000001</v>
      </c>
      <c r="G21" s="7"/>
    </row>
    <row r="22" spans="2:7">
      <c r="B22" s="4" t="s">
        <v>21</v>
      </c>
      <c r="C22" s="13">
        <v>322</v>
      </c>
      <c r="D22" s="13">
        <v>2645005.2799999998</v>
      </c>
      <c r="E22" s="14">
        <v>1192</v>
      </c>
      <c r="F22" s="13">
        <v>4402440</v>
      </c>
      <c r="G22" s="15"/>
    </row>
    <row r="23" spans="2:7">
      <c r="B23" s="4" t="s">
        <v>22</v>
      </c>
      <c r="C23" s="13">
        <v>1113</v>
      </c>
      <c r="D23" s="13">
        <v>8531699.4900000002</v>
      </c>
      <c r="E23" s="14">
        <v>3352</v>
      </c>
      <c r="F23" s="13">
        <v>19622891</v>
      </c>
      <c r="G23" s="8"/>
    </row>
    <row r="24" spans="2:7">
      <c r="B24" s="4" t="s">
        <v>23</v>
      </c>
      <c r="C24" s="13">
        <v>325</v>
      </c>
      <c r="D24" s="13">
        <v>1347112</v>
      </c>
      <c r="E24" s="14">
        <v>1400</v>
      </c>
      <c r="F24" s="13">
        <v>4716170</v>
      </c>
      <c r="G24" s="7"/>
    </row>
    <row r="25" spans="2:7">
      <c r="B25" s="4" t="s">
        <v>24</v>
      </c>
      <c r="C25" s="13">
        <v>226</v>
      </c>
      <c r="D25" s="13">
        <v>1689666.41</v>
      </c>
      <c r="E25" s="14">
        <v>798</v>
      </c>
      <c r="F25" s="13">
        <v>2392311</v>
      </c>
      <c r="G25" s="7"/>
    </row>
    <row r="26" spans="2:7">
      <c r="B26" s="4" t="s">
        <v>25</v>
      </c>
      <c r="C26" s="13">
        <v>21</v>
      </c>
      <c r="D26" s="13">
        <v>334890</v>
      </c>
      <c r="E26" s="14">
        <v>51</v>
      </c>
      <c r="F26" s="13">
        <v>79164</v>
      </c>
      <c r="G26" s="7"/>
    </row>
    <row r="27" spans="2:7">
      <c r="B27" s="4" t="s">
        <v>26</v>
      </c>
      <c r="C27" s="13">
        <v>41</v>
      </c>
      <c r="D27" s="13">
        <v>140277</v>
      </c>
      <c r="E27" s="14">
        <v>126</v>
      </c>
      <c r="F27" s="13">
        <v>258999.71100000001</v>
      </c>
      <c r="G27" s="7"/>
    </row>
    <row r="28" spans="2:7">
      <c r="B28" s="4" t="s">
        <v>27</v>
      </c>
      <c r="C28" s="13">
        <v>80</v>
      </c>
      <c r="D28" s="13">
        <v>190961.6</v>
      </c>
      <c r="E28" s="14">
        <v>1000</v>
      </c>
      <c r="F28" s="13">
        <v>4827046</v>
      </c>
      <c r="G28" s="15"/>
    </row>
    <row r="29" spans="2:7">
      <c r="B29" s="4" t="s">
        <v>28</v>
      </c>
      <c r="C29" s="13">
        <v>2966</v>
      </c>
      <c r="D29" s="13">
        <v>26561826.260000002</v>
      </c>
      <c r="E29" s="14">
        <v>6423</v>
      </c>
      <c r="F29" s="13">
        <v>38399633.079999998</v>
      </c>
      <c r="G29" s="7"/>
    </row>
    <row r="30" spans="2:7">
      <c r="B30" s="4" t="s">
        <v>29</v>
      </c>
      <c r="C30" s="13">
        <v>840</v>
      </c>
      <c r="D30" s="13">
        <v>4645043</v>
      </c>
      <c r="E30" s="14">
        <v>4074</v>
      </c>
      <c r="F30" s="13">
        <v>57429416.43</v>
      </c>
      <c r="G30" s="7"/>
    </row>
    <row r="31" spans="2:7">
      <c r="B31" s="4" t="s">
        <v>30</v>
      </c>
      <c r="C31" s="13">
        <v>24262</v>
      </c>
      <c r="D31" s="13">
        <v>39846872.251000002</v>
      </c>
      <c r="E31" s="14">
        <v>48098</v>
      </c>
      <c r="F31" s="13">
        <v>39593204.609999999</v>
      </c>
      <c r="G31" s="7"/>
    </row>
    <row r="32" spans="2:7">
      <c r="B32" s="4" t="s">
        <v>31</v>
      </c>
      <c r="C32" s="13">
        <v>166</v>
      </c>
      <c r="D32" s="13">
        <v>1234302.3500000001</v>
      </c>
      <c r="E32" s="14">
        <v>398</v>
      </c>
      <c r="F32" s="13">
        <v>2373322.31</v>
      </c>
      <c r="G32" s="15"/>
    </row>
    <row r="33" spans="2:7">
      <c r="B33" s="4" t="s">
        <v>32</v>
      </c>
      <c r="C33" s="13">
        <v>4880</v>
      </c>
      <c r="D33" s="13">
        <v>22616417.109999999</v>
      </c>
      <c r="E33" s="14">
        <v>9309</v>
      </c>
      <c r="F33" s="13">
        <v>28623826</v>
      </c>
      <c r="G33" s="8"/>
    </row>
    <row r="34" spans="2:7">
      <c r="B34" s="4" t="s">
        <v>33</v>
      </c>
      <c r="C34" s="13">
        <v>54413</v>
      </c>
      <c r="D34" s="13">
        <v>4730955.3</v>
      </c>
      <c r="E34" s="14">
        <v>227</v>
      </c>
      <c r="F34" s="13">
        <v>462178</v>
      </c>
    </row>
    <row r="35" spans="2:7">
      <c r="B35" s="4" t="s">
        <v>34</v>
      </c>
      <c r="C35" s="13">
        <v>1864</v>
      </c>
      <c r="D35" s="13">
        <v>11856939.77</v>
      </c>
      <c r="E35" s="14">
        <v>5495</v>
      </c>
      <c r="F35" s="13">
        <v>31428352.550000001</v>
      </c>
      <c r="G35" s="7"/>
    </row>
    <row r="36" spans="2:7">
      <c r="B36" s="4" t="s">
        <v>35</v>
      </c>
      <c r="C36" s="13">
        <v>38</v>
      </c>
      <c r="D36" s="13">
        <v>4935.75</v>
      </c>
      <c r="E36" s="14">
        <v>81</v>
      </c>
      <c r="F36" s="13">
        <v>94099</v>
      </c>
      <c r="G36" s="7"/>
    </row>
    <row r="37" spans="2:7">
      <c r="B37" s="4" t="s">
        <v>36</v>
      </c>
      <c r="C37" s="13">
        <v>40</v>
      </c>
      <c r="D37" s="13">
        <v>676925</v>
      </c>
      <c r="E37" s="14"/>
      <c r="F37" s="13"/>
      <c r="G37" s="8"/>
    </row>
    <row r="38" spans="2:7">
      <c r="B38" s="4" t="s">
        <v>37</v>
      </c>
      <c r="C38" s="13">
        <v>8</v>
      </c>
      <c r="D38" s="13">
        <v>57250</v>
      </c>
      <c r="E38" s="14">
        <v>332</v>
      </c>
      <c r="F38" s="13">
        <v>874616</v>
      </c>
      <c r="G38" s="7"/>
    </row>
    <row r="39" spans="2:7">
      <c r="B39" s="4" t="s">
        <v>38</v>
      </c>
      <c r="C39" s="13">
        <v>3333</v>
      </c>
      <c r="D39" s="13">
        <v>16507815.26</v>
      </c>
      <c r="E39" s="14">
        <v>3200</v>
      </c>
      <c r="F39" s="13">
        <v>20836883.079999998</v>
      </c>
      <c r="G39" s="7"/>
    </row>
    <row r="40" spans="2:7">
      <c r="B40" s="4" t="s">
        <v>39</v>
      </c>
      <c r="C40" s="13">
        <v>265</v>
      </c>
      <c r="D40" s="13">
        <v>915113</v>
      </c>
      <c r="E40" s="14">
        <v>309</v>
      </c>
      <c r="F40" s="13">
        <v>936368</v>
      </c>
      <c r="G40" s="7"/>
    </row>
    <row r="41" spans="2:7">
      <c r="B41" s="4" t="s">
        <v>40</v>
      </c>
      <c r="C41" s="13">
        <v>6</v>
      </c>
      <c r="D41" s="13">
        <v>395</v>
      </c>
      <c r="E41" s="14">
        <v>149</v>
      </c>
      <c r="F41" s="13">
        <v>4812603</v>
      </c>
      <c r="G41" s="7"/>
    </row>
    <row r="42" spans="2:7">
      <c r="B42" s="4" t="s">
        <v>41</v>
      </c>
      <c r="C42" s="13">
        <v>97</v>
      </c>
      <c r="D42" s="13">
        <v>381497</v>
      </c>
      <c r="E42" s="14">
        <v>439</v>
      </c>
      <c r="F42" s="13">
        <v>1415683</v>
      </c>
      <c r="G42" s="7"/>
    </row>
    <row r="43" spans="2:7">
      <c r="B43" s="4" t="s">
        <v>42</v>
      </c>
      <c r="C43" s="13">
        <v>349</v>
      </c>
      <c r="D43" s="13">
        <v>1247823</v>
      </c>
      <c r="E43" s="14">
        <v>2315</v>
      </c>
      <c r="F43" s="13">
        <v>2791982</v>
      </c>
      <c r="G43" s="7"/>
    </row>
    <row r="44" spans="2:7">
      <c r="B44" s="4" t="s">
        <v>43</v>
      </c>
      <c r="C44" s="13">
        <v>6198</v>
      </c>
      <c r="D44" s="13">
        <v>31856100.300000001</v>
      </c>
      <c r="E44" s="14">
        <v>41119</v>
      </c>
      <c r="F44" s="13">
        <v>187419346.30000001</v>
      </c>
      <c r="G44" s="7"/>
    </row>
    <row r="45" spans="2:7">
      <c r="B45" s="4" t="s">
        <v>44</v>
      </c>
      <c r="C45" s="13">
        <v>329</v>
      </c>
      <c r="D45" s="13">
        <v>4242203</v>
      </c>
      <c r="E45" s="14">
        <v>788</v>
      </c>
      <c r="F45" s="13">
        <v>3119850</v>
      </c>
      <c r="G45" s="15"/>
    </row>
    <row r="46" spans="2:7">
      <c r="B46" s="4" t="s">
        <v>45</v>
      </c>
      <c r="C46" s="13">
        <v>2762</v>
      </c>
      <c r="D46" s="13">
        <v>17838282.18</v>
      </c>
      <c r="E46" s="14">
        <v>6774</v>
      </c>
      <c r="F46" s="13">
        <v>28885156.510000002</v>
      </c>
      <c r="G46" s="7"/>
    </row>
    <row r="47" spans="2:7">
      <c r="B47" s="4" t="s">
        <v>46</v>
      </c>
      <c r="C47" s="13">
        <v>207</v>
      </c>
      <c r="D47" s="13">
        <v>1005069</v>
      </c>
      <c r="E47" s="14">
        <v>841</v>
      </c>
      <c r="F47" s="13">
        <v>2760404</v>
      </c>
      <c r="G47" s="7"/>
    </row>
    <row r="48" spans="2:7">
      <c r="B48" s="4" t="s">
        <v>47</v>
      </c>
      <c r="C48" s="13">
        <v>858</v>
      </c>
      <c r="D48" s="13">
        <v>7543181</v>
      </c>
      <c r="E48" s="14">
        <v>1705</v>
      </c>
      <c r="F48" s="13">
        <v>9882768.5099999998</v>
      </c>
      <c r="G48" s="7"/>
    </row>
    <row r="49" spans="2:7">
      <c r="B49" s="16" t="s">
        <v>56</v>
      </c>
      <c r="C49" s="13">
        <v>1</v>
      </c>
      <c r="D49" s="13">
        <v>100</v>
      </c>
      <c r="E49" s="14">
        <v>2</v>
      </c>
      <c r="F49" s="13">
        <v>35</v>
      </c>
      <c r="G49" s="7"/>
    </row>
    <row r="50" spans="2:7">
      <c r="B50" s="4" t="s">
        <v>48</v>
      </c>
      <c r="C50" s="13">
        <v>10706</v>
      </c>
      <c r="D50" s="13">
        <v>44132886.240000002</v>
      </c>
      <c r="E50" s="14">
        <v>27994</v>
      </c>
      <c r="F50" s="13">
        <v>73539713.129999995</v>
      </c>
      <c r="G50" s="9"/>
    </row>
    <row r="51" spans="2:7">
      <c r="B51" s="4" t="s">
        <v>49</v>
      </c>
      <c r="C51" s="13">
        <v>145</v>
      </c>
      <c r="D51" s="13">
        <v>396026</v>
      </c>
      <c r="E51" s="14">
        <v>328</v>
      </c>
      <c r="F51" s="13">
        <v>444540</v>
      </c>
      <c r="G51" s="7"/>
    </row>
    <row r="52" spans="2:7">
      <c r="B52" s="4" t="s">
        <v>50</v>
      </c>
      <c r="C52" s="13">
        <v>2</v>
      </c>
      <c r="D52" s="13">
        <v>250</v>
      </c>
      <c r="E52" s="14">
        <v>33</v>
      </c>
      <c r="F52" s="13">
        <v>215737.3</v>
      </c>
      <c r="G52" s="9"/>
    </row>
    <row r="53" spans="2:7">
      <c r="B53" s="4" t="s">
        <v>51</v>
      </c>
      <c r="C53" s="13">
        <v>437</v>
      </c>
      <c r="D53" s="13">
        <v>2766913</v>
      </c>
      <c r="E53" s="14">
        <v>1097</v>
      </c>
      <c r="F53" s="13">
        <v>4398790</v>
      </c>
      <c r="G53" s="9"/>
    </row>
    <row r="54" spans="2:7">
      <c r="B54" s="4" t="s">
        <v>52</v>
      </c>
      <c r="C54" s="13">
        <v>1045</v>
      </c>
      <c r="D54" s="13">
        <v>12823768.390000001</v>
      </c>
      <c r="E54" s="14">
        <v>2204</v>
      </c>
      <c r="F54" s="13">
        <v>22461229.510000002</v>
      </c>
    </row>
    <row r="55" spans="2:7">
      <c r="B55" s="10" t="s">
        <v>53</v>
      </c>
      <c r="C55" s="11">
        <f>SUM(C7:C54)</f>
        <v>859915</v>
      </c>
      <c r="D55" s="11">
        <f>SUM(D7:D54)</f>
        <v>3461049879.1309996</v>
      </c>
      <c r="E55" s="11">
        <f>SUM(E7:E54)</f>
        <v>859915</v>
      </c>
      <c r="F55" s="11">
        <f>SUM(F7:F54)</f>
        <v>3461049879.1310015</v>
      </c>
    </row>
  </sheetData>
  <sortState ref="G7:I53">
    <sortCondition ref="G6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2026-06-02T08:37:46Z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EB5CBA99DD034E10B089C2934F87D8AC_13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