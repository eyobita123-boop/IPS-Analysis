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24,2026\"/>
    </mc:Choice>
  </mc:AlternateContent>
  <bookViews>
    <workbookView xWindow="0" yWindow="0" windowWidth="20436" windowHeight="6912"/>
  </bookViews>
  <sheets>
    <sheet name="Sheet1" sheetId="1" r:id="rId1"/>
  </sheets>
  <definedNames>
    <definedName name="_xlnm._FilterDatabase" localSheetId="0" hidden="1">Sheet1!$B$7:$F$49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E55" i="1"/>
  <c r="D55" i="1"/>
  <c r="C55" i="1"/>
</calcChain>
</file>

<file path=xl/sharedStrings.xml><?xml version="1.0" encoding="utf-8"?>
<sst xmlns="http://schemas.openxmlformats.org/spreadsheetml/2006/main" count="59" uniqueCount="57">
  <si>
    <t>EthSwitch S.C.</t>
  </si>
  <si>
    <t>IPS Successful Report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</si>
  <si>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</si>
  <si>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</si>
  <si>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</si>
  <si>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</si>
  <si>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</si>
  <si>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</si>
  <si>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</si>
  <si>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</si>
  <si>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</si>
  <si>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</si>
  <si>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</si>
  <si>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</si>
  <si>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</si>
  <si>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</si>
  <si>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</si>
  <si>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</si>
  <si>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</si>
  <si>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</si>
  <si>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</si>
  <si>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</si>
  <si>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Dire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</si>
  <si>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</si>
  <si>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</si>
  <si>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</si>
  <si>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</si>
  <si>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</si>
  <si>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</si>
  <si>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</si>
  <si>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</si>
  <si>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</si>
  <si>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</si>
  <si>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</si>
  <si>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</si>
  <si>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</si>
  <si>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</si>
  <si>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</si>
  <si>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</si>
  <si>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</si>
  <si>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</si>
  <si>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</si>
  <si>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Sahay Pay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</si>
  <si>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</si>
  <si>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</si>
  <si>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</si>
  <si>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</si>
  <si>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</si>
  <si>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</si>
  <si>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</si>
  <si>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</si>
  <si>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</si>
  <si>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</si>
  <si>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</si>
  <si>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 xml:space="preserve">Zemen </t>
  </si>
  <si>
    <t>TOTAL</t>
  </si>
  <si>
    <t>Successful IPS Interoperable Transactions Held From May 24,2026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</si>
</sst>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9013336588644"/>
      </top>
      <bottom style="thin">
        <color theme="6" tint="0.799890133365886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/>
    </xf>
    <xf numFmtId="0" fontId="5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5"/>
  <sheetViews>
    <sheetView tabSelected="1" zoomScaleNormal="100" workbookViewId="0">
      <selection activeCell="I8" sqref="I8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0" style="3" customWidth="1"/>
    <col min="5" max="5" width="19" style="2" customWidth="1"/>
    <col min="6" max="6" width="16.88671875" style="3" customWidth="1"/>
    <col min="7" max="7" width="15.6640625" style="1" customWidth="1"/>
    <col min="8" max="8" width="19.6640625" style="1" customWidth="1"/>
    <col min="9" max="9" width="13.5546875" style="1" customWidth="1"/>
    <col min="10" max="16384" width="9" style="1"/>
  </cols>
  <sheetData>
    <row r="1" spans="2:9" ht="15.6">
      <c r="B1" s="17" t="s">
        <v>0</v>
      </c>
      <c r="C1" s="17"/>
      <c r="D1" s="17"/>
      <c r="E1" s="17"/>
      <c r="F1" s="17"/>
    </row>
    <row r="2" spans="2:9" ht="15.6">
      <c r="B2" s="17" t="s">
        <v>1</v>
      </c>
      <c r="C2" s="17"/>
      <c r="D2" s="17"/>
      <c r="E2" s="17"/>
      <c r="F2" s="17"/>
    </row>
    <row r="3" spans="2:9" ht="15.6">
      <c r="B3" s="18">
        <v>46166</v>
      </c>
      <c r="C3" s="18"/>
      <c r="D3" s="18"/>
      <c r="E3" s="18"/>
      <c r="F3" s="18"/>
    </row>
    <row r="4" spans="2:9" ht="20.25" customHeight="1">
      <c r="B4" s="19" t="s">
        <v>56</v>
      </c>
      <c r="C4" s="19"/>
      <c r="D4" s="19"/>
      <c r="E4" s="19"/>
      <c r="F4" s="19"/>
    </row>
    <row r="5" spans="2:9" ht="13.95" customHeight="1">
      <c r="B5" s="20" t="s">
        <v>2</v>
      </c>
      <c r="C5" s="20" t="s">
        <v>3</v>
      </c>
      <c r="D5" s="20"/>
      <c r="E5" s="20" t="s">
        <v>4</v>
      </c>
      <c r="F5" s="20"/>
    </row>
    <row r="6" spans="2:9">
      <c r="B6" s="20"/>
      <c r="C6" s="5" t="s">
        <v>5</v>
      </c>
      <c r="D6" s="6" t="s">
        <v>6</v>
      </c>
      <c r="E6" s="5" t="s">
        <v>5</v>
      </c>
      <c r="F6" s="6" t="s">
        <v>6</v>
      </c>
      <c r="G6" s="7"/>
      <c r="H6" s="8"/>
      <c r="I6" s="8"/>
    </row>
    <row r="7" spans="2:9">
      <c r="B7" s="4" t="s">
        <v>7</v>
      </c>
      <c r="C7" s="15">
        <v>5568</v>
      </c>
      <c r="D7" s="15">
        <v>19500122.66</v>
      </c>
      <c r="E7" s="16">
        <v>24775</v>
      </c>
      <c r="F7" s="15">
        <v>59191622.539999999</v>
      </c>
      <c r="G7" s="7"/>
      <c r="H7" s="8"/>
      <c r="I7" s="8"/>
    </row>
    <row r="8" spans="2:9">
      <c r="B8" s="4" t="s">
        <v>8</v>
      </c>
      <c r="C8" s="15">
        <v>82019</v>
      </c>
      <c r="D8" s="15">
        <v>331024247.27999997</v>
      </c>
      <c r="E8" s="16">
        <v>128369</v>
      </c>
      <c r="F8" s="15">
        <v>398869018.39999998</v>
      </c>
      <c r="G8" s="7"/>
      <c r="H8" s="8"/>
      <c r="I8" s="8"/>
    </row>
    <row r="9" spans="2:9">
      <c r="B9" s="4" t="s">
        <v>9</v>
      </c>
      <c r="C9" s="15">
        <v>423</v>
      </c>
      <c r="D9" s="15">
        <v>1878312</v>
      </c>
      <c r="E9" s="16">
        <v>1727</v>
      </c>
      <c r="F9" s="15">
        <v>6907113.7199999997</v>
      </c>
    </row>
    <row r="10" spans="2:9">
      <c r="B10" s="4" t="s">
        <v>10</v>
      </c>
      <c r="C10" s="15">
        <v>333</v>
      </c>
      <c r="D10" s="15">
        <v>1044874.78</v>
      </c>
      <c r="E10" s="16">
        <v>1198</v>
      </c>
      <c r="F10" s="15">
        <v>2484713</v>
      </c>
      <c r="G10" s="7"/>
      <c r="H10" s="8"/>
      <c r="I10" s="8"/>
    </row>
    <row r="11" spans="2:9">
      <c r="B11" s="4" t="s">
        <v>11</v>
      </c>
      <c r="C11" s="15">
        <v>49</v>
      </c>
      <c r="D11" s="15">
        <v>25132.5</v>
      </c>
      <c r="E11" s="16">
        <v>51</v>
      </c>
      <c r="F11" s="15">
        <v>24175.8</v>
      </c>
      <c r="G11" s="7"/>
      <c r="H11" s="8"/>
      <c r="I11" s="8"/>
    </row>
    <row r="12" spans="2:9">
      <c r="B12" s="4" t="s">
        <v>12</v>
      </c>
      <c r="C12" s="15">
        <v>3332</v>
      </c>
      <c r="D12" s="15">
        <v>15039494.619999999</v>
      </c>
      <c r="E12" s="16">
        <v>8265</v>
      </c>
      <c r="F12" s="15">
        <v>23362300.460000001</v>
      </c>
      <c r="G12" s="7"/>
      <c r="H12" s="8"/>
      <c r="I12" s="8"/>
    </row>
    <row r="13" spans="2:9">
      <c r="B13" s="4" t="s">
        <v>13</v>
      </c>
      <c r="C13" s="15">
        <v>50474</v>
      </c>
      <c r="D13" s="15">
        <v>202129929.18000001</v>
      </c>
      <c r="E13" s="16">
        <v>147776</v>
      </c>
      <c r="F13" s="15">
        <v>470596392.67000002</v>
      </c>
      <c r="G13" s="7"/>
      <c r="H13" s="8"/>
      <c r="I13" s="8"/>
    </row>
    <row r="14" spans="2:9">
      <c r="B14" s="4" t="s">
        <v>14</v>
      </c>
      <c r="C14" s="15">
        <v>3393</v>
      </c>
      <c r="D14" s="15">
        <v>15196360.99</v>
      </c>
      <c r="E14" s="16">
        <v>10177</v>
      </c>
      <c r="F14" s="15">
        <v>28326969.09</v>
      </c>
      <c r="G14" s="7"/>
      <c r="H14" s="8"/>
      <c r="I14" s="8"/>
    </row>
    <row r="15" spans="2:9">
      <c r="B15" s="4" t="s">
        <v>15</v>
      </c>
      <c r="C15" s="15">
        <v>3424</v>
      </c>
      <c r="D15" s="15">
        <v>16628564.16</v>
      </c>
      <c r="E15" s="16">
        <v>8795</v>
      </c>
      <c r="F15" s="15">
        <v>28675725</v>
      </c>
      <c r="G15" s="7"/>
      <c r="H15" s="8"/>
      <c r="I15" s="8"/>
    </row>
    <row r="16" spans="2:9">
      <c r="B16" s="4" t="s">
        <v>16</v>
      </c>
      <c r="C16" s="15">
        <v>437361</v>
      </c>
      <c r="D16" s="15">
        <v>1433613398.47</v>
      </c>
      <c r="E16" s="16">
        <v>175931</v>
      </c>
      <c r="F16" s="15">
        <v>663859782.79999995</v>
      </c>
      <c r="G16" s="7"/>
      <c r="H16" s="8"/>
      <c r="I16" s="8"/>
    </row>
    <row r="17" spans="2:9">
      <c r="B17" s="4" t="s">
        <v>17</v>
      </c>
      <c r="C17" s="15">
        <v>9948</v>
      </c>
      <c r="D17" s="15">
        <v>3906616.14</v>
      </c>
      <c r="E17" s="16">
        <v>17999</v>
      </c>
      <c r="F17" s="15">
        <v>12883578.99</v>
      </c>
      <c r="G17" s="7"/>
      <c r="H17" s="8"/>
      <c r="I17" s="8"/>
    </row>
    <row r="18" spans="2:9">
      <c r="B18" s="4" t="s">
        <v>18</v>
      </c>
      <c r="C18" s="15">
        <v>52199</v>
      </c>
      <c r="D18" s="15">
        <v>132942108.09999999</v>
      </c>
      <c r="E18" s="16">
        <v>64029</v>
      </c>
      <c r="F18" s="15">
        <v>154236565.58000001</v>
      </c>
      <c r="G18" s="7"/>
      <c r="H18" s="8"/>
      <c r="I18" s="8"/>
    </row>
    <row r="19" spans="2:9">
      <c r="B19" s="4" t="s">
        <v>19</v>
      </c>
      <c r="C19" s="15">
        <v>0</v>
      </c>
      <c r="D19" s="15">
        <v>0</v>
      </c>
      <c r="E19" s="16">
        <v>257</v>
      </c>
      <c r="F19" s="15">
        <v>583618</v>
      </c>
      <c r="G19" s="7"/>
      <c r="H19" s="8"/>
      <c r="I19" s="8"/>
    </row>
    <row r="20" spans="2:9">
      <c r="B20" s="4" t="s">
        <v>20</v>
      </c>
      <c r="C20" s="15">
        <v>9695</v>
      </c>
      <c r="D20" s="15">
        <v>51414882.479999997</v>
      </c>
      <c r="E20" s="16">
        <v>25653</v>
      </c>
      <c r="F20" s="15">
        <v>123503743.98999999</v>
      </c>
      <c r="G20" s="7"/>
      <c r="H20" s="8"/>
      <c r="I20" s="8"/>
    </row>
    <row r="21" spans="2:9">
      <c r="B21" s="4" t="s">
        <v>21</v>
      </c>
      <c r="C21" s="15">
        <v>64</v>
      </c>
      <c r="D21" s="15">
        <v>429770</v>
      </c>
      <c r="E21" s="16">
        <v>447</v>
      </c>
      <c r="F21" s="15">
        <v>1605891</v>
      </c>
      <c r="G21" s="7"/>
      <c r="H21" s="8"/>
      <c r="I21" s="8"/>
    </row>
    <row r="22" spans="2:9">
      <c r="B22" s="4" t="s">
        <v>22</v>
      </c>
      <c r="C22" s="9"/>
      <c r="D22" s="9"/>
      <c r="E22" s="10"/>
      <c r="F22" s="9"/>
      <c r="G22" s="7"/>
      <c r="H22" s="8"/>
      <c r="I22" s="8"/>
    </row>
    <row r="23" spans="2:9">
      <c r="B23" s="4" t="s">
        <v>23</v>
      </c>
      <c r="C23" s="15">
        <v>685</v>
      </c>
      <c r="D23" s="15">
        <v>4311386.75</v>
      </c>
      <c r="E23" s="16">
        <v>2951</v>
      </c>
      <c r="F23" s="15">
        <v>10944932</v>
      </c>
      <c r="G23" s="7"/>
      <c r="H23" s="8"/>
      <c r="I23" s="8"/>
    </row>
    <row r="24" spans="2:9">
      <c r="B24" s="4" t="s">
        <v>24</v>
      </c>
      <c r="C24" s="15">
        <v>203</v>
      </c>
      <c r="D24" s="15">
        <v>899373</v>
      </c>
      <c r="E24" s="16">
        <v>1475</v>
      </c>
      <c r="F24" s="15">
        <v>4211068.99</v>
      </c>
      <c r="G24" s="7"/>
      <c r="H24" s="8"/>
      <c r="I24" s="8"/>
    </row>
    <row r="25" spans="2:9">
      <c r="B25" s="4" t="s">
        <v>25</v>
      </c>
      <c r="C25" s="15">
        <v>137</v>
      </c>
      <c r="D25" s="15">
        <v>784509</v>
      </c>
      <c r="E25" s="16">
        <v>918</v>
      </c>
      <c r="F25" s="15">
        <v>2354415</v>
      </c>
      <c r="G25" s="7"/>
      <c r="H25" s="8"/>
      <c r="I25" s="8"/>
    </row>
    <row r="26" spans="2:9">
      <c r="B26" s="4" t="s">
        <v>26</v>
      </c>
      <c r="C26" s="15">
        <v>21</v>
      </c>
      <c r="D26" s="15">
        <v>210950</v>
      </c>
      <c r="E26" s="16">
        <v>104</v>
      </c>
      <c r="F26" s="15">
        <v>155255</v>
      </c>
      <c r="G26" s="7"/>
      <c r="H26" s="8"/>
      <c r="I26" s="8"/>
    </row>
    <row r="27" spans="2:9">
      <c r="B27" s="4" t="s">
        <v>27</v>
      </c>
      <c r="C27" s="15">
        <v>40</v>
      </c>
      <c r="D27" s="15">
        <v>134115</v>
      </c>
      <c r="E27" s="16">
        <v>140</v>
      </c>
      <c r="F27" s="15">
        <v>201572.5</v>
      </c>
      <c r="G27" s="7"/>
      <c r="H27" s="8"/>
      <c r="I27" s="8"/>
    </row>
    <row r="28" spans="2:9">
      <c r="B28" s="4" t="s">
        <v>28</v>
      </c>
      <c r="C28" s="15">
        <v>75</v>
      </c>
      <c r="D28" s="15">
        <v>139496</v>
      </c>
      <c r="E28" s="16">
        <v>1391</v>
      </c>
      <c r="F28" s="15">
        <v>7068235</v>
      </c>
      <c r="G28" s="7"/>
      <c r="H28" s="8"/>
      <c r="I28" s="8"/>
    </row>
    <row r="29" spans="2:9">
      <c r="B29" s="4" t="s">
        <v>29</v>
      </c>
      <c r="C29" s="15">
        <v>1807</v>
      </c>
      <c r="D29" s="15">
        <v>11491231.449999999</v>
      </c>
      <c r="E29" s="16">
        <v>4681</v>
      </c>
      <c r="F29" s="15">
        <v>20647778.98</v>
      </c>
      <c r="G29" s="7"/>
      <c r="H29" s="8"/>
      <c r="I29" s="8"/>
    </row>
    <row r="30" spans="2:9">
      <c r="B30" s="4" t="s">
        <v>30</v>
      </c>
      <c r="C30" s="15">
        <v>900</v>
      </c>
      <c r="D30" s="15">
        <v>4035074.25</v>
      </c>
      <c r="E30" s="16">
        <v>3965</v>
      </c>
      <c r="F30" s="15">
        <v>51695106.810000002</v>
      </c>
      <c r="G30" s="7"/>
      <c r="H30" s="8"/>
      <c r="I30" s="8"/>
    </row>
    <row r="31" spans="2:9">
      <c r="B31" s="4" t="s">
        <v>31</v>
      </c>
      <c r="C31" s="15">
        <v>27644</v>
      </c>
      <c r="D31" s="15">
        <v>47343276.189999998</v>
      </c>
      <c r="E31" s="16">
        <v>45744</v>
      </c>
      <c r="F31" s="15">
        <v>23096059.09</v>
      </c>
      <c r="G31" s="7"/>
      <c r="H31" s="8"/>
      <c r="I31" s="8"/>
    </row>
    <row r="32" spans="2:9">
      <c r="B32" s="4" t="s">
        <v>32</v>
      </c>
      <c r="C32" s="15">
        <v>135</v>
      </c>
      <c r="D32" s="15">
        <v>953697.4</v>
      </c>
      <c r="E32" s="16">
        <v>231</v>
      </c>
      <c r="F32" s="15">
        <v>1129336</v>
      </c>
      <c r="G32" s="7"/>
      <c r="H32" s="8"/>
      <c r="I32" s="8"/>
    </row>
    <row r="33" spans="2:9">
      <c r="B33" s="4" t="s">
        <v>33</v>
      </c>
      <c r="C33" s="15">
        <v>3519</v>
      </c>
      <c r="D33" s="15">
        <v>11995387.109999999</v>
      </c>
      <c r="E33" s="16">
        <v>12874</v>
      </c>
      <c r="F33" s="15">
        <v>30313701</v>
      </c>
      <c r="G33" s="7"/>
      <c r="H33" s="8"/>
      <c r="I33" s="8"/>
    </row>
    <row r="34" spans="2:9">
      <c r="B34" s="4" t="s">
        <v>34</v>
      </c>
      <c r="C34" s="15">
        <v>51907</v>
      </c>
      <c r="D34" s="15">
        <v>3796908.78</v>
      </c>
      <c r="E34" s="16">
        <v>195</v>
      </c>
      <c r="F34" s="15">
        <v>218117</v>
      </c>
      <c r="G34" s="7"/>
      <c r="H34" s="8"/>
      <c r="I34" s="8"/>
    </row>
    <row r="35" spans="2:9">
      <c r="B35" s="4" t="s">
        <v>35</v>
      </c>
      <c r="C35" s="15">
        <v>1379</v>
      </c>
      <c r="D35" s="15">
        <v>8784008.5</v>
      </c>
      <c r="E35" s="16">
        <v>4811</v>
      </c>
      <c r="F35" s="15">
        <v>19131732.600000001</v>
      </c>
      <c r="G35" s="7"/>
      <c r="H35" s="8"/>
      <c r="I35" s="8"/>
    </row>
    <row r="36" spans="2:9">
      <c r="B36" s="4" t="s">
        <v>36</v>
      </c>
      <c r="C36" s="15">
        <v>2</v>
      </c>
      <c r="D36" s="15">
        <v>1800</v>
      </c>
      <c r="E36" s="16">
        <v>6</v>
      </c>
      <c r="F36" s="15">
        <v>2205</v>
      </c>
      <c r="G36" s="7"/>
      <c r="H36" s="8"/>
      <c r="I36" s="8"/>
    </row>
    <row r="37" spans="2:9">
      <c r="B37" s="4" t="s">
        <v>37</v>
      </c>
      <c r="C37" s="15">
        <v>14</v>
      </c>
      <c r="D37" s="15">
        <v>258895</v>
      </c>
      <c r="E37" s="16">
        <v>0</v>
      </c>
      <c r="F37" s="15">
        <v>0</v>
      </c>
      <c r="G37" s="7"/>
      <c r="H37" s="8"/>
      <c r="I37" s="8"/>
    </row>
    <row r="38" spans="2:9">
      <c r="B38" s="4" t="s">
        <v>38</v>
      </c>
      <c r="C38" s="15">
        <v>3</v>
      </c>
      <c r="D38" s="15">
        <v>6600</v>
      </c>
      <c r="E38" s="16">
        <v>141</v>
      </c>
      <c r="F38" s="15">
        <v>417514</v>
      </c>
      <c r="G38" s="11"/>
    </row>
    <row r="39" spans="2:9">
      <c r="B39" s="4" t="s">
        <v>39</v>
      </c>
      <c r="C39" s="15">
        <v>2399</v>
      </c>
      <c r="D39" s="15">
        <v>10529273.16</v>
      </c>
      <c r="E39" s="16">
        <v>2736</v>
      </c>
      <c r="F39" s="15">
        <v>12621540.73</v>
      </c>
      <c r="G39" s="11"/>
    </row>
    <row r="40" spans="2:9">
      <c r="B40" s="4" t="s">
        <v>40</v>
      </c>
      <c r="C40" s="15">
        <v>255</v>
      </c>
      <c r="D40" s="15">
        <v>691332</v>
      </c>
      <c r="E40" s="16">
        <v>328</v>
      </c>
      <c r="F40" s="15">
        <v>1260485</v>
      </c>
      <c r="G40" s="11"/>
    </row>
    <row r="41" spans="2:9">
      <c r="B41" s="4" t="s">
        <v>41</v>
      </c>
      <c r="C41" s="15">
        <v>5</v>
      </c>
      <c r="D41" s="15">
        <v>3450</v>
      </c>
      <c r="E41" s="16">
        <v>159</v>
      </c>
      <c r="F41" s="15">
        <v>4361957</v>
      </c>
      <c r="G41" s="11"/>
    </row>
    <row r="42" spans="2:9">
      <c r="B42" s="4" t="s">
        <v>42</v>
      </c>
      <c r="C42" s="15"/>
      <c r="D42" s="15"/>
      <c r="E42" s="16"/>
      <c r="F42" s="15"/>
      <c r="G42" s="7"/>
      <c r="H42" s="8"/>
      <c r="I42" s="8"/>
    </row>
    <row r="43" spans="2:9">
      <c r="B43" s="4" t="s">
        <v>43</v>
      </c>
      <c r="C43" s="15">
        <v>102</v>
      </c>
      <c r="D43" s="15">
        <v>267464.5</v>
      </c>
      <c r="E43" s="16">
        <v>437</v>
      </c>
      <c r="F43" s="15">
        <v>1402280</v>
      </c>
      <c r="G43" s="7"/>
      <c r="H43" s="8"/>
      <c r="I43" s="8"/>
    </row>
    <row r="44" spans="2:9">
      <c r="B44" s="4" t="s">
        <v>44</v>
      </c>
      <c r="C44" s="15">
        <v>233</v>
      </c>
      <c r="D44" s="15">
        <v>637685</v>
      </c>
      <c r="E44" s="16">
        <v>1951</v>
      </c>
      <c r="F44" s="15">
        <v>1996558</v>
      </c>
      <c r="G44" s="7"/>
      <c r="H44" s="8"/>
      <c r="I44" s="8"/>
    </row>
    <row r="45" spans="2:9">
      <c r="B45" s="4" t="s">
        <v>45</v>
      </c>
      <c r="C45" s="15">
        <v>5240</v>
      </c>
      <c r="D45" s="15">
        <v>22231653.93</v>
      </c>
      <c r="E45" s="16">
        <v>42132</v>
      </c>
      <c r="F45" s="15">
        <v>156913993</v>
      </c>
      <c r="G45" s="7"/>
      <c r="H45" s="8"/>
      <c r="I45" s="8"/>
    </row>
    <row r="46" spans="2:9">
      <c r="B46" s="4" t="s">
        <v>46</v>
      </c>
      <c r="C46" s="15">
        <v>122</v>
      </c>
      <c r="D46" s="15">
        <v>778761</v>
      </c>
      <c r="E46" s="16">
        <v>315</v>
      </c>
      <c r="F46" s="15">
        <v>1058849</v>
      </c>
    </row>
    <row r="47" spans="2:9">
      <c r="B47" s="4" t="s">
        <v>47</v>
      </c>
      <c r="C47" s="15">
        <v>1029</v>
      </c>
      <c r="D47" s="15">
        <v>4717204.3</v>
      </c>
      <c r="E47" s="16">
        <v>3408</v>
      </c>
      <c r="F47" s="15">
        <v>12969195.939999999</v>
      </c>
      <c r="G47" s="7"/>
      <c r="H47" s="8"/>
      <c r="I47" s="8"/>
    </row>
    <row r="48" spans="2:9">
      <c r="B48" s="4" t="s">
        <v>48</v>
      </c>
      <c r="C48" s="15">
        <v>197</v>
      </c>
      <c r="D48" s="15">
        <v>635561</v>
      </c>
      <c r="E48" s="16">
        <v>505</v>
      </c>
      <c r="F48" s="15">
        <v>1217113.17</v>
      </c>
      <c r="G48" s="11"/>
    </row>
    <row r="49" spans="2:9">
      <c r="B49" s="4" t="s">
        <v>49</v>
      </c>
      <c r="C49" s="15">
        <v>146</v>
      </c>
      <c r="D49" s="15">
        <v>1239407</v>
      </c>
      <c r="E49" s="16">
        <v>1114</v>
      </c>
      <c r="F49" s="15">
        <v>5715554</v>
      </c>
      <c r="G49" s="7"/>
      <c r="H49" s="8"/>
      <c r="I49" s="8"/>
    </row>
    <row r="50" spans="2:9">
      <c r="B50" s="4" t="s">
        <v>50</v>
      </c>
      <c r="C50" s="15">
        <v>8163</v>
      </c>
      <c r="D50" s="15">
        <v>24211272.059999999</v>
      </c>
      <c r="E50" s="16">
        <v>14541</v>
      </c>
      <c r="F50" s="15">
        <v>34903121.75</v>
      </c>
      <c r="G50" s="12"/>
      <c r="H50" s="8"/>
      <c r="I50" s="8"/>
    </row>
    <row r="51" spans="2:9">
      <c r="B51" s="4" t="s">
        <v>51</v>
      </c>
      <c r="C51" s="15">
        <v>115</v>
      </c>
      <c r="D51" s="15">
        <v>138188</v>
      </c>
      <c r="E51" s="16">
        <v>380</v>
      </c>
      <c r="F51" s="15">
        <v>490438</v>
      </c>
      <c r="G51" s="7"/>
      <c r="H51" s="8"/>
      <c r="I51" s="8"/>
    </row>
    <row r="52" spans="2:9">
      <c r="B52" s="4" t="s">
        <v>52</v>
      </c>
      <c r="C52" s="15">
        <v>2</v>
      </c>
      <c r="D52" s="15">
        <v>20019</v>
      </c>
      <c r="E52" s="16">
        <v>2</v>
      </c>
      <c r="F52" s="15">
        <v>15175</v>
      </c>
      <c r="G52" s="12"/>
      <c r="H52" s="8"/>
      <c r="I52" s="8"/>
    </row>
    <row r="53" spans="2:9">
      <c r="B53" s="4" t="s">
        <v>53</v>
      </c>
      <c r="C53" s="15">
        <v>499</v>
      </c>
      <c r="D53" s="15">
        <v>3819873</v>
      </c>
      <c r="E53" s="16">
        <v>1397</v>
      </c>
      <c r="F53" s="15">
        <v>5589631</v>
      </c>
      <c r="G53" s="12"/>
      <c r="H53" s="8"/>
      <c r="I53" s="8"/>
    </row>
    <row r="54" spans="2:9">
      <c r="B54" s="4" t="s">
        <v>54</v>
      </c>
      <c r="C54" s="15">
        <v>658</v>
      </c>
      <c r="D54" s="15">
        <v>7347329</v>
      </c>
      <c r="E54" s="16">
        <v>1437</v>
      </c>
      <c r="F54" s="15">
        <v>9974863.1400000006</v>
      </c>
    </row>
    <row r="55" spans="2:9">
      <c r="B55" s="13" t="s">
        <v>55</v>
      </c>
      <c r="C55" s="14">
        <f>SUM(C7:C54)</f>
        <v>765918</v>
      </c>
      <c r="D55" s="14">
        <f>SUM(D7:D54)</f>
        <v>2397188994.7400002</v>
      </c>
      <c r="E55" s="14">
        <f>SUM(E7:E54)</f>
        <v>765918</v>
      </c>
      <c r="F55" s="14">
        <f>SUM(F7:F54)</f>
        <v>2397188994.7399998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2026-05-25T07:51:26Z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EB5CBA99DD034E10B089C2934F87D8AC_13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