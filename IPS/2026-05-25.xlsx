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"/>
    </mc:Choice>
  </mc:AlternateContent>
  <xr:revisionPtr revIDLastSave="0" documentId="13_ncr:1000001_{7A7FE950-6CA6-4B4D-B6BC-EE07E46568DA}" xr6:coauthVersionLast="47" xr6:coauthVersionMax="47" xr10:uidLastSave="{00000000-0000-0000-0000-000000000000}"/>
  <bookViews>
    <workbookView xWindow="0" yWindow="0" windowWidth="23040" windowHeight="9744" xr2:uid="{00000000-000D-0000-FFFF-FFFF00000000}"/>
  </bookViews>
  <sheets>
    <sheet name="Sheet1" sheetId="1" r:id="rId1"/>
  </sheets>
  <definedNames>
    <definedName name="_xlnm._FilterDatabase" localSheetId="0" hidden="1">Sheet1!$B$7:$F$52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E55" i="1"/>
  <c r="D55" i="1"/>
  <c r="C55" i="1"/>
</calcChain>
</file>

<file path=xl/sharedStrings.xml><?xml version="1.0" encoding="utf-8"?>
<sst xmlns="http://schemas.openxmlformats.org/spreadsheetml/2006/main" count="59" uniqueCount="57">
  <si>
    <t>EthSwitch S.C.</t>
  </si>
  <si>
    <t>IPS Successful Report</t>
  </si>
  <si>
    <t>Successful IPS Interoperable Transactions Held From May 25,2026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</si>
  <si>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</si>
  <si>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</si>
  <si>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</si>
  <si>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</si>
  <si>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</si>
  <si>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</si>
  <si>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</si>
  <si>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</si>
  <si>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</si>
  <si>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</si>
  <si>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</si>
  <si>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</si>
  <si>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</si>
  <si>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</si>
  <si>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</si>
  <si>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</si>
  <si>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</si>
  <si>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</si>
  <si>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</si>
  <si>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</si>
  <si>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</si>
  <si>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</si>
  <si>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</si>
  <si>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</si>
  <si>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</si>
  <si>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</si>
  <si>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</si>
  <si>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</si>
  <si>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</si>
  <si>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</si>
  <si>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</si>
  <si>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</si>
  <si>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</si>
  <si>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</si>
  <si>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</si>
  <si>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</si>
  <si>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</si>
  <si>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</si>
  <si>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</si>
  <si>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</si>
  <si>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</si>
  <si>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</si>
  <si>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</si>
  <si>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</si>
  <si>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</si>
  <si>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</si>
  <si>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Vitabirr</t>
  </si>
  <si>
    <t>Wegagen</t>
  </si>
  <si>
    <t>Wegagen e-Birr</t>
  </si>
  <si>
    <t>Yaya Wallet</t>
  </si>
  <si>
    <t>ZamZam</t>
  </si>
  <si>
    <t>Zemen</t>
  </si>
  <si>
    <t>TOTAL</t>
  </si>
  <si>
    <t>Amhara EthBirr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</si>
</sst>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409]d\-mmm\-yy;@"/>
  </numFmts>
  <fonts count="10" x14ac:knownFonts="1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topLeftCell="A20" zoomScale="90" zoomScaleNormal="90" workbookViewId="0">
      <selection activeCell="C45" sqref="C45"/>
    </sheetView>
  </sheetViews>
  <sheetFormatPr defaultColWidth="9.01171875" defaultRowHeight="13.5" x14ac:dyDescent="0.15"/>
  <cols>
    <col min="1" max="1" width="9.01171875" style="1"/>
    <col min="2" max="2" width="19.50390625" style="1" customWidth="1"/>
    <col min="3" max="3" width="21.1171875" style="2" customWidth="1"/>
    <col min="4" max="4" width="26.5" style="3" customWidth="1"/>
    <col min="5" max="5" width="18.96484375" style="2" customWidth="1"/>
    <col min="6" max="6" width="32.1484375" style="3" customWidth="1"/>
    <col min="7" max="7" width="15.6015625" style="1" customWidth="1"/>
    <col min="8" max="8" width="19.63671875" style="1" customWidth="1"/>
    <col min="9" max="9" width="13.5859375" style="1" customWidth="1"/>
    <col min="10" max="16384" width="9.01171875" style="1"/>
  </cols>
  <sheetData>
    <row r="1" spans="2:9" ht="14.25" x14ac:dyDescent="0.15">
      <c r="B1" s="15" t="s">
        <v>0</v>
      </c>
      <c r="C1" s="15"/>
      <c r="D1" s="15"/>
      <c r="E1" s="15"/>
      <c r="F1" s="15"/>
    </row>
    <row r="2" spans="2:9" ht="14.25" x14ac:dyDescent="0.15">
      <c r="B2" s="15" t="s">
        <v>1</v>
      </c>
      <c r="C2" s="15"/>
      <c r="D2" s="15"/>
      <c r="E2" s="15"/>
      <c r="F2" s="15"/>
    </row>
    <row r="3" spans="2:9" ht="14.25" x14ac:dyDescent="0.15">
      <c r="B3" s="16">
        <v>46167</v>
      </c>
      <c r="C3" s="16"/>
      <c r="D3" s="16"/>
      <c r="E3" s="16"/>
      <c r="F3" s="16"/>
    </row>
    <row r="4" spans="2:9" ht="20.25" customHeight="1" x14ac:dyDescent="0.15">
      <c r="B4" s="17" t="s">
        <v>2</v>
      </c>
      <c r="C4" s="17"/>
      <c r="D4" s="17"/>
      <c r="E4" s="17"/>
      <c r="F4" s="17"/>
    </row>
    <row r="5" spans="2:9" ht="13.9" customHeight="1" x14ac:dyDescent="0.15">
      <c r="B5" s="18" t="s">
        <v>3</v>
      </c>
      <c r="C5" s="18" t="s">
        <v>4</v>
      </c>
      <c r="D5" s="18"/>
      <c r="E5" s="18" t="s">
        <v>5</v>
      </c>
      <c r="F5" s="18"/>
    </row>
    <row r="6" spans="2:9" x14ac:dyDescent="0.15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 x14ac:dyDescent="0.15">
      <c r="B7" s="4" t="s">
        <v>8</v>
      </c>
      <c r="C7" s="9">
        <v>8702</v>
      </c>
      <c r="D7" s="9">
        <v>41357694.530000001</v>
      </c>
      <c r="E7" s="10">
        <v>27965</v>
      </c>
      <c r="F7" s="9">
        <v>89112798.709999993</v>
      </c>
      <c r="G7" s="7"/>
      <c r="H7" s="8"/>
      <c r="I7" s="8"/>
    </row>
    <row r="8" spans="2:9" x14ac:dyDescent="0.15">
      <c r="B8" s="4" t="s">
        <v>9</v>
      </c>
      <c r="C8" s="9">
        <v>106056</v>
      </c>
      <c r="D8" s="9">
        <v>526590786.44999999</v>
      </c>
      <c r="E8" s="10">
        <v>137159</v>
      </c>
      <c r="F8" s="9">
        <v>574374548.45000005</v>
      </c>
      <c r="G8" s="7"/>
      <c r="H8" s="8"/>
      <c r="I8" s="8"/>
    </row>
    <row r="9" spans="2:9" x14ac:dyDescent="0.15">
      <c r="B9" s="4" t="s">
        <v>10</v>
      </c>
      <c r="C9" s="9">
        <v>677</v>
      </c>
      <c r="D9" s="9">
        <v>4744281</v>
      </c>
      <c r="E9" s="10">
        <v>1888</v>
      </c>
      <c r="F9" s="9">
        <v>15166255.4</v>
      </c>
    </row>
    <row r="10" spans="2:9" x14ac:dyDescent="0.15">
      <c r="B10" s="4" t="s">
        <v>11</v>
      </c>
      <c r="C10" s="9">
        <v>759</v>
      </c>
      <c r="D10" s="9">
        <v>4283387.5999999996</v>
      </c>
      <c r="E10" s="10">
        <v>1192</v>
      </c>
      <c r="F10" s="9">
        <v>3859594</v>
      </c>
      <c r="G10" s="7"/>
      <c r="H10" s="8"/>
      <c r="I10" s="8"/>
    </row>
    <row r="11" spans="2:9" x14ac:dyDescent="0.15">
      <c r="B11" s="4" t="s">
        <v>12</v>
      </c>
      <c r="C11" s="9">
        <v>36</v>
      </c>
      <c r="D11" s="9">
        <v>16334</v>
      </c>
      <c r="E11" s="10">
        <v>47</v>
      </c>
      <c r="F11" s="9">
        <v>15960</v>
      </c>
      <c r="G11" s="7"/>
      <c r="H11" s="8"/>
      <c r="I11" s="8"/>
    </row>
    <row r="12" spans="2:9" x14ac:dyDescent="0.15">
      <c r="B12" s="4" t="s">
        <v>13</v>
      </c>
      <c r="C12" s="9">
        <v>4497</v>
      </c>
      <c r="D12" s="9">
        <v>22375356.039999999</v>
      </c>
      <c r="E12" s="10">
        <v>10143</v>
      </c>
      <c r="F12" s="9">
        <v>48636896.43</v>
      </c>
      <c r="G12" s="7"/>
      <c r="H12" s="8"/>
      <c r="I12" s="8"/>
    </row>
    <row r="13" spans="2:9" x14ac:dyDescent="0.15">
      <c r="B13" s="4" t="s">
        <v>56</v>
      </c>
      <c r="C13" s="9">
        <v>0</v>
      </c>
      <c r="D13" s="9">
        <v>0</v>
      </c>
      <c r="E13" s="10">
        <v>4</v>
      </c>
      <c r="F13" s="9">
        <v>5</v>
      </c>
      <c r="G13" s="7"/>
      <c r="H13" s="8"/>
      <c r="I13" s="8"/>
    </row>
    <row r="14" spans="2:9" x14ac:dyDescent="0.15">
      <c r="B14" s="4" t="s">
        <v>14</v>
      </c>
      <c r="C14" s="9">
        <v>69572</v>
      </c>
      <c r="D14" s="9">
        <v>348866447.31</v>
      </c>
      <c r="E14" s="10">
        <v>167936</v>
      </c>
      <c r="F14" s="9">
        <v>782699456.20000005</v>
      </c>
      <c r="G14" s="7"/>
      <c r="H14" s="8"/>
      <c r="I14" s="8"/>
    </row>
    <row r="15" spans="2:9" x14ac:dyDescent="0.15">
      <c r="B15" s="4" t="s">
        <v>15</v>
      </c>
      <c r="C15" s="9">
        <v>6058</v>
      </c>
      <c r="D15" s="9">
        <v>35500893.189999998</v>
      </c>
      <c r="E15" s="10">
        <v>13190</v>
      </c>
      <c r="F15" s="9">
        <v>61581171.020000003</v>
      </c>
      <c r="G15" s="7"/>
      <c r="H15" s="8"/>
      <c r="I15" s="8"/>
    </row>
    <row r="16" spans="2:9" x14ac:dyDescent="0.15">
      <c r="B16" s="4" t="s">
        <v>16</v>
      </c>
      <c r="C16" s="9">
        <v>5198</v>
      </c>
      <c r="D16" s="9">
        <v>30348588.780000001</v>
      </c>
      <c r="E16" s="10">
        <v>10123</v>
      </c>
      <c r="F16" s="9">
        <v>60555153</v>
      </c>
      <c r="G16" s="7"/>
      <c r="H16" s="8"/>
      <c r="I16" s="8"/>
    </row>
    <row r="17" spans="2:9" x14ac:dyDescent="0.15">
      <c r="B17" s="4" t="s">
        <v>17</v>
      </c>
      <c r="C17" s="9">
        <v>475384</v>
      </c>
      <c r="D17" s="9">
        <v>2166185689.6100001</v>
      </c>
      <c r="E17" s="10">
        <v>240056</v>
      </c>
      <c r="F17" s="9">
        <v>1110052259.54</v>
      </c>
      <c r="G17" s="7"/>
      <c r="H17" s="8"/>
      <c r="I17" s="8"/>
    </row>
    <row r="18" spans="2:9" x14ac:dyDescent="0.15">
      <c r="B18" s="4" t="s">
        <v>18</v>
      </c>
      <c r="C18" s="9">
        <v>9793</v>
      </c>
      <c r="D18" s="9">
        <v>4537206.92</v>
      </c>
      <c r="E18" s="10">
        <v>19179</v>
      </c>
      <c r="F18" s="9">
        <v>19910564.140000001</v>
      </c>
      <c r="G18" s="7"/>
      <c r="H18" s="8"/>
      <c r="I18" s="8"/>
    </row>
    <row r="19" spans="2:9" x14ac:dyDescent="0.15">
      <c r="B19" s="4" t="s">
        <v>19</v>
      </c>
      <c r="C19" s="9">
        <v>62871</v>
      </c>
      <c r="D19" s="9">
        <v>200222886.69999999</v>
      </c>
      <c r="E19" s="10">
        <v>71055</v>
      </c>
      <c r="F19" s="9">
        <v>246922000.33000001</v>
      </c>
      <c r="G19" s="7"/>
      <c r="H19" s="8"/>
      <c r="I19" s="8"/>
    </row>
    <row r="20" spans="2:9" x14ac:dyDescent="0.15">
      <c r="B20" s="4" t="s">
        <v>20</v>
      </c>
      <c r="C20" s="9">
        <v>0</v>
      </c>
      <c r="D20" s="9">
        <v>0</v>
      </c>
      <c r="E20" s="10">
        <v>463</v>
      </c>
      <c r="F20" s="9">
        <v>9156549.1199999992</v>
      </c>
      <c r="G20" s="7"/>
      <c r="H20" s="8"/>
      <c r="I20" s="8"/>
    </row>
    <row r="21" spans="2:9" x14ac:dyDescent="0.15">
      <c r="B21" s="4" t="s">
        <v>21</v>
      </c>
      <c r="C21" s="9">
        <v>27</v>
      </c>
      <c r="D21" s="9">
        <v>131420</v>
      </c>
      <c r="E21" s="10">
        <v>0</v>
      </c>
      <c r="F21" s="9">
        <v>0</v>
      </c>
      <c r="G21" s="7"/>
      <c r="H21" s="8"/>
      <c r="I21" s="8"/>
    </row>
    <row r="22" spans="2:9" x14ac:dyDescent="0.15">
      <c r="B22" s="4" t="s">
        <v>22</v>
      </c>
      <c r="C22" s="9">
        <v>418</v>
      </c>
      <c r="D22" s="9">
        <v>3412703.27</v>
      </c>
      <c r="E22" s="10">
        <v>1355</v>
      </c>
      <c r="F22" s="9">
        <v>6592109</v>
      </c>
      <c r="G22" s="7"/>
      <c r="H22" s="8"/>
      <c r="I22" s="8"/>
    </row>
    <row r="23" spans="2:9" x14ac:dyDescent="0.15">
      <c r="B23" s="4" t="s">
        <v>23</v>
      </c>
      <c r="C23" s="9">
        <v>1463</v>
      </c>
      <c r="D23" s="9">
        <v>11183707.59</v>
      </c>
      <c r="E23" s="10">
        <v>3282</v>
      </c>
      <c r="F23" s="9">
        <v>20233656</v>
      </c>
      <c r="G23" s="7"/>
      <c r="H23" s="8"/>
      <c r="I23" s="8"/>
    </row>
    <row r="24" spans="2:9" x14ac:dyDescent="0.15">
      <c r="B24" s="4" t="s">
        <v>24</v>
      </c>
      <c r="C24" s="9">
        <v>361</v>
      </c>
      <c r="D24" s="9">
        <v>1158293</v>
      </c>
      <c r="E24" s="10">
        <v>1331</v>
      </c>
      <c r="F24" s="9">
        <v>4620090.5</v>
      </c>
      <c r="G24" s="7"/>
      <c r="H24" s="8"/>
      <c r="I24" s="8"/>
    </row>
    <row r="25" spans="2:9" x14ac:dyDescent="0.15">
      <c r="B25" s="4" t="s">
        <v>25</v>
      </c>
      <c r="C25" s="9">
        <v>274</v>
      </c>
      <c r="D25" s="9">
        <v>2112445</v>
      </c>
      <c r="E25" s="10">
        <v>937</v>
      </c>
      <c r="F25" s="9">
        <v>3430590</v>
      </c>
      <c r="G25" s="7"/>
      <c r="H25" s="8"/>
      <c r="I25" s="8"/>
    </row>
    <row r="26" spans="2:9" x14ac:dyDescent="0.15">
      <c r="B26" s="4" t="s">
        <v>26</v>
      </c>
      <c r="C26" s="9">
        <v>31</v>
      </c>
      <c r="D26" s="9">
        <v>186674</v>
      </c>
      <c r="E26" s="10">
        <v>97</v>
      </c>
      <c r="F26" s="9">
        <v>188351</v>
      </c>
      <c r="G26" s="7"/>
      <c r="H26" s="8"/>
      <c r="I26" s="8"/>
    </row>
    <row r="27" spans="2:9" x14ac:dyDescent="0.15">
      <c r="B27" s="4" t="s">
        <v>27</v>
      </c>
      <c r="C27" s="9">
        <v>57</v>
      </c>
      <c r="D27" s="9">
        <v>425516</v>
      </c>
      <c r="E27" s="10">
        <v>236</v>
      </c>
      <c r="F27" s="9">
        <v>3391156</v>
      </c>
      <c r="G27" s="7"/>
      <c r="H27" s="8"/>
      <c r="I27" s="8"/>
    </row>
    <row r="28" spans="2:9" x14ac:dyDescent="0.15">
      <c r="B28" s="4" t="s">
        <v>28</v>
      </c>
      <c r="C28" s="9">
        <v>69</v>
      </c>
      <c r="D28" s="9">
        <v>157256.20000000001</v>
      </c>
      <c r="E28" s="10">
        <v>1322</v>
      </c>
      <c r="F28" s="9">
        <v>7077901</v>
      </c>
      <c r="G28" s="7"/>
      <c r="H28" s="8"/>
      <c r="I28" s="8"/>
    </row>
    <row r="29" spans="2:9" x14ac:dyDescent="0.15">
      <c r="B29" s="4" t="s">
        <v>29</v>
      </c>
      <c r="C29" s="9">
        <v>3358</v>
      </c>
      <c r="D29" s="9">
        <v>25406485.170000002</v>
      </c>
      <c r="E29" s="10">
        <v>5100</v>
      </c>
      <c r="F29" s="9">
        <v>36508755.469999999</v>
      </c>
      <c r="G29" s="7"/>
      <c r="H29" s="8"/>
      <c r="I29" s="8"/>
    </row>
    <row r="30" spans="2:9" x14ac:dyDescent="0.15">
      <c r="B30" s="4" t="s">
        <v>30</v>
      </c>
      <c r="C30" s="9">
        <v>1464</v>
      </c>
      <c r="D30" s="9">
        <v>7742882.6799999997</v>
      </c>
      <c r="E30" s="10">
        <v>5250</v>
      </c>
      <c r="F30" s="9">
        <v>75094405.049999997</v>
      </c>
      <c r="G30" s="7"/>
      <c r="H30" s="8"/>
      <c r="I30" s="8"/>
    </row>
    <row r="31" spans="2:9" x14ac:dyDescent="0.15">
      <c r="B31" s="4" t="s">
        <v>31</v>
      </c>
      <c r="C31" s="9">
        <v>30428</v>
      </c>
      <c r="D31" s="9">
        <v>56506316.460000001</v>
      </c>
      <c r="E31" s="10">
        <v>45529</v>
      </c>
      <c r="F31" s="9">
        <v>30270387.550000001</v>
      </c>
      <c r="G31" s="7"/>
      <c r="H31" s="8"/>
      <c r="I31" s="8"/>
    </row>
    <row r="32" spans="2:9" x14ac:dyDescent="0.15">
      <c r="B32" s="4" t="s">
        <v>32</v>
      </c>
      <c r="C32" s="9">
        <v>250</v>
      </c>
      <c r="D32" s="9">
        <v>2003193.34</v>
      </c>
      <c r="E32" s="10">
        <v>396</v>
      </c>
      <c r="F32" s="9">
        <v>3816020.87</v>
      </c>
      <c r="G32" s="7"/>
      <c r="H32" s="8"/>
      <c r="I32" s="8"/>
    </row>
    <row r="33" spans="2:9" x14ac:dyDescent="0.15">
      <c r="B33" s="4" t="s">
        <v>33</v>
      </c>
      <c r="C33" s="9">
        <v>5564</v>
      </c>
      <c r="D33" s="9">
        <v>25103829.600000001</v>
      </c>
      <c r="E33" s="10">
        <v>13631</v>
      </c>
      <c r="F33" s="9">
        <v>49095604</v>
      </c>
      <c r="G33" s="7"/>
      <c r="H33" s="8"/>
      <c r="I33" s="8"/>
    </row>
    <row r="34" spans="2:9" x14ac:dyDescent="0.15">
      <c r="B34" s="4" t="s">
        <v>34</v>
      </c>
      <c r="C34" s="9">
        <v>50464</v>
      </c>
      <c r="D34" s="9">
        <v>3921043.71</v>
      </c>
      <c r="E34" s="10">
        <v>232</v>
      </c>
      <c r="F34" s="9">
        <v>893218</v>
      </c>
      <c r="G34" s="7"/>
      <c r="H34" s="8"/>
      <c r="I34" s="8"/>
    </row>
    <row r="35" spans="2:9" x14ac:dyDescent="0.15">
      <c r="B35" s="4" t="s">
        <v>35</v>
      </c>
      <c r="C35" s="9">
        <v>2385</v>
      </c>
      <c r="D35" s="9">
        <v>15463608.449999999</v>
      </c>
      <c r="E35" s="10">
        <v>4809</v>
      </c>
      <c r="F35" s="9">
        <v>29562960.940000001</v>
      </c>
      <c r="G35" s="7"/>
      <c r="H35" s="8"/>
      <c r="I35" s="8"/>
    </row>
    <row r="36" spans="2:9" x14ac:dyDescent="0.15">
      <c r="B36" s="4" t="s">
        <v>36</v>
      </c>
      <c r="C36" s="9"/>
      <c r="D36" s="9"/>
      <c r="E36" s="10"/>
      <c r="F36" s="9"/>
      <c r="G36" s="7"/>
      <c r="H36" s="8"/>
      <c r="I36" s="8"/>
    </row>
    <row r="37" spans="2:9" x14ac:dyDescent="0.15">
      <c r="B37" s="4" t="s">
        <v>37</v>
      </c>
      <c r="C37" s="9">
        <v>66</v>
      </c>
      <c r="D37" s="9">
        <v>1183670</v>
      </c>
      <c r="E37" s="10">
        <v>0</v>
      </c>
      <c r="F37" s="9">
        <v>0</v>
      </c>
      <c r="G37" s="7"/>
      <c r="H37" s="8"/>
      <c r="I37" s="8"/>
    </row>
    <row r="38" spans="2:9" x14ac:dyDescent="0.15">
      <c r="B38" s="4" t="s">
        <v>38</v>
      </c>
      <c r="C38" s="9">
        <v>8</v>
      </c>
      <c r="D38" s="9">
        <v>15070</v>
      </c>
      <c r="E38" s="10">
        <v>250</v>
      </c>
      <c r="F38" s="9">
        <v>685822</v>
      </c>
      <c r="G38" s="7"/>
      <c r="H38" s="8"/>
      <c r="I38" s="8"/>
    </row>
    <row r="39" spans="2:9" x14ac:dyDescent="0.15">
      <c r="B39" s="4" t="s">
        <v>39</v>
      </c>
      <c r="C39" s="9">
        <v>4005</v>
      </c>
      <c r="D39" s="9">
        <v>20696185.199999999</v>
      </c>
      <c r="E39" s="10">
        <v>2588</v>
      </c>
      <c r="F39" s="9">
        <v>19526082</v>
      </c>
      <c r="G39" s="7"/>
      <c r="H39" s="8"/>
      <c r="I39" s="8"/>
    </row>
    <row r="40" spans="2:9" x14ac:dyDescent="0.15">
      <c r="B40" s="4" t="s">
        <v>40</v>
      </c>
      <c r="C40" s="9">
        <v>335</v>
      </c>
      <c r="D40" s="9">
        <v>1427765</v>
      </c>
      <c r="E40" s="10">
        <v>402</v>
      </c>
      <c r="F40" s="9">
        <v>1812777</v>
      </c>
      <c r="G40" s="7"/>
      <c r="H40" s="8"/>
      <c r="I40" s="8"/>
    </row>
    <row r="41" spans="2:9" x14ac:dyDescent="0.15">
      <c r="B41" s="4" t="s">
        <v>41</v>
      </c>
      <c r="C41" s="9">
        <v>3</v>
      </c>
      <c r="D41" s="9">
        <v>48100</v>
      </c>
      <c r="E41" s="10">
        <v>302</v>
      </c>
      <c r="F41" s="9">
        <v>8953525</v>
      </c>
      <c r="G41" s="7"/>
      <c r="H41" s="8"/>
      <c r="I41" s="8"/>
    </row>
    <row r="42" spans="2:9" x14ac:dyDescent="0.15">
      <c r="B42" s="4" t="s">
        <v>42</v>
      </c>
      <c r="C42" s="9">
        <v>134</v>
      </c>
      <c r="D42" s="9">
        <v>826928</v>
      </c>
      <c r="E42" s="10">
        <v>427</v>
      </c>
      <c r="F42" s="9">
        <v>1577993</v>
      </c>
      <c r="G42" s="11"/>
    </row>
    <row r="43" spans="2:9" x14ac:dyDescent="0.15">
      <c r="B43" s="4" t="s">
        <v>43</v>
      </c>
      <c r="C43" s="9">
        <v>489</v>
      </c>
      <c r="D43" s="9">
        <v>1943747</v>
      </c>
      <c r="E43" s="10">
        <v>2085</v>
      </c>
      <c r="F43" s="9">
        <v>2415406</v>
      </c>
      <c r="G43" s="11"/>
    </row>
    <row r="44" spans="2:9" x14ac:dyDescent="0.15">
      <c r="B44" s="4" t="s">
        <v>44</v>
      </c>
      <c r="C44" s="9">
        <v>9082</v>
      </c>
      <c r="D44" s="9">
        <v>56364368.479999997</v>
      </c>
      <c r="E44" s="10">
        <v>48378</v>
      </c>
      <c r="F44" s="9">
        <v>238765160.68000001</v>
      </c>
      <c r="G44" s="11"/>
    </row>
    <row r="45" spans="2:9" x14ac:dyDescent="0.15">
      <c r="B45" s="4" t="s">
        <v>45</v>
      </c>
      <c r="C45" s="9">
        <v>425</v>
      </c>
      <c r="D45" s="9">
        <v>3961629</v>
      </c>
      <c r="E45" s="10">
        <v>443</v>
      </c>
      <c r="F45" s="9">
        <v>1897847</v>
      </c>
      <c r="G45" s="7"/>
      <c r="H45" s="8"/>
      <c r="I45" s="8"/>
    </row>
    <row r="46" spans="2:9" x14ac:dyDescent="0.15">
      <c r="B46" s="4" t="s">
        <v>46</v>
      </c>
      <c r="C46" s="9">
        <v>3034</v>
      </c>
      <c r="D46" s="9">
        <v>21012281</v>
      </c>
      <c r="E46" s="10">
        <v>5962</v>
      </c>
      <c r="F46" s="9">
        <v>29431985</v>
      </c>
      <c r="G46" s="7"/>
      <c r="H46" s="8"/>
      <c r="I46" s="8"/>
    </row>
    <row r="47" spans="2:9" x14ac:dyDescent="0.15">
      <c r="B47" s="4" t="s">
        <v>47</v>
      </c>
      <c r="C47" s="9">
        <v>260</v>
      </c>
      <c r="D47" s="9">
        <v>969275</v>
      </c>
      <c r="E47" s="10">
        <v>733</v>
      </c>
      <c r="F47" s="9">
        <v>2696896.31</v>
      </c>
      <c r="G47" s="7"/>
      <c r="H47" s="8"/>
      <c r="I47" s="8"/>
    </row>
    <row r="48" spans="2:9" x14ac:dyDescent="0.15">
      <c r="B48" s="4" t="s">
        <v>48</v>
      </c>
      <c r="C48" s="9">
        <v>820</v>
      </c>
      <c r="D48" s="9">
        <v>6962909.0599999996</v>
      </c>
      <c r="E48" s="10">
        <v>1695</v>
      </c>
      <c r="F48" s="9">
        <v>11414445</v>
      </c>
      <c r="G48" s="7"/>
      <c r="H48" s="8"/>
      <c r="I48" s="8"/>
    </row>
    <row r="49" spans="2:9" x14ac:dyDescent="0.15">
      <c r="B49" s="4" t="s">
        <v>49</v>
      </c>
      <c r="C49" s="9">
        <v>0</v>
      </c>
      <c r="D49" s="9">
        <v>0</v>
      </c>
      <c r="E49" s="10">
        <v>5</v>
      </c>
      <c r="F49" s="9">
        <v>231</v>
      </c>
    </row>
    <row r="50" spans="2:9" x14ac:dyDescent="0.15">
      <c r="B50" s="4" t="s">
        <v>50</v>
      </c>
      <c r="C50" s="9">
        <v>11802</v>
      </c>
      <c r="D50" s="9">
        <v>50738796.780000001</v>
      </c>
      <c r="E50" s="10">
        <v>27789</v>
      </c>
      <c r="F50" s="9">
        <v>85828983.959999993</v>
      </c>
      <c r="G50" s="7"/>
      <c r="H50" s="8"/>
      <c r="I50" s="8"/>
    </row>
    <row r="51" spans="2:9" x14ac:dyDescent="0.15">
      <c r="B51" s="4" t="s">
        <v>51</v>
      </c>
      <c r="C51" s="9">
        <v>170</v>
      </c>
      <c r="D51" s="9">
        <v>459971</v>
      </c>
      <c r="E51" s="10">
        <v>407</v>
      </c>
      <c r="F51" s="9">
        <v>727405.1</v>
      </c>
      <c r="G51" s="11"/>
    </row>
    <row r="52" spans="2:9" x14ac:dyDescent="0.15">
      <c r="B52" s="4" t="s">
        <v>52</v>
      </c>
      <c r="C52" s="9">
        <v>6</v>
      </c>
      <c r="D52" s="9">
        <v>3150</v>
      </c>
      <c r="E52" s="10">
        <v>6</v>
      </c>
      <c r="F52" s="9">
        <v>26305</v>
      </c>
      <c r="G52" s="7"/>
      <c r="H52" s="8"/>
      <c r="I52" s="8"/>
    </row>
    <row r="53" spans="2:9" x14ac:dyDescent="0.15">
      <c r="B53" s="4" t="s">
        <v>53</v>
      </c>
      <c r="C53" s="9">
        <v>806</v>
      </c>
      <c r="D53" s="9">
        <v>5803920.4400000004</v>
      </c>
      <c r="E53" s="10">
        <v>1684</v>
      </c>
      <c r="F53" s="9">
        <v>8196206</v>
      </c>
      <c r="G53" s="12"/>
      <c r="H53" s="8"/>
      <c r="I53" s="8"/>
    </row>
    <row r="54" spans="2:9" x14ac:dyDescent="0.15">
      <c r="B54" s="4" t="s">
        <v>54</v>
      </c>
      <c r="C54" s="9">
        <v>1169</v>
      </c>
      <c r="D54" s="9">
        <v>14039931.369999999</v>
      </c>
      <c r="E54" s="10">
        <v>1767</v>
      </c>
      <c r="F54" s="9">
        <v>19627137.16</v>
      </c>
      <c r="G54" s="7"/>
      <c r="H54" s="8"/>
      <c r="I54" s="8"/>
    </row>
    <row r="55" spans="2:9" x14ac:dyDescent="0.15">
      <c r="B55" s="13" t="s">
        <v>55</v>
      </c>
      <c r="C55" s="14">
        <f>SUM(C7:C54)</f>
        <v>878830</v>
      </c>
      <c r="D55" s="14">
        <f>SUM(D7:D54)</f>
        <v>3726402623.9299998</v>
      </c>
      <c r="E55" s="14">
        <f>SUM(E7:E54)</f>
        <v>878830</v>
      </c>
      <c r="F55" s="14">
        <f>SUM(F7:F54)</f>
        <v>3726402623.9299994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2026-05-26T08:02:31Z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EE1120870B0E4006B843BC7B7A83C891_13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